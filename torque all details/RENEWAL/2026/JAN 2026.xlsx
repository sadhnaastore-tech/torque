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<sst xmlns="http://schemas.openxmlformats.org/spreadsheetml/2006/main" count="7454" uniqueCount="2457">
  <si>
    <t>#</t>
  </si>
  <si>
    <t>ISSUE DATE</t>
  </si>
  <si>
    <t>REG NO</t>
  </si>
  <si>
    <t>POLICY NO.</t>
  </si>
  <si>
    <t>CAT</t>
  </si>
  <si>
    <t>MODEL</t>
  </si>
  <si>
    <t>NAME</t>
  </si>
  <si>
    <t>MOBILE NUMBER 1</t>
  </si>
  <si>
    <t>MOBILE NUMBER 2</t>
  </si>
  <si>
    <t>Other Works</t>
  </si>
  <si>
    <t>GVW</t>
  </si>
  <si>
    <t>EXP DATE</t>
  </si>
  <si>
    <t>COMPANY</t>
  </si>
  <si>
    <t>TP/FULL/SAOD</t>
  </si>
  <si>
    <t>VIA</t>
  </si>
  <si>
    <t>FROM</t>
  </si>
  <si>
    <t>ANGEL /
TORQUE</t>
  </si>
  <si>
    <t>CF EXPIRY</t>
  </si>
  <si>
    <t>PUC EXPIRY</t>
  </si>
  <si>
    <t>PERMIT EXPIRY</t>
  </si>
  <si>
    <t>N PERMIT EXPIRY</t>
  </si>
  <si>
    <t>NET PREMIUM</t>
  </si>
  <si>
    <t>TOTAL PREMIUM</t>
  </si>
  <si>
    <t>Rate</t>
  </si>
  <si>
    <t>RS FROM CUSTOMER</t>
  </si>
  <si>
    <t>Difference</t>
  </si>
  <si>
    <t>NET RATE</t>
  </si>
  <si>
    <t>ONLINE UPDATE</t>
  </si>
  <si>
    <t>ADDRESS</t>
  </si>
  <si>
    <t>GJ36AL2899</t>
  </si>
  <si>
    <t>LMV</t>
  </si>
  <si>
    <t>MARUTI SUZUKI BALENO</t>
  </si>
  <si>
    <t>Mr. Rajeshbhai Prabhatbhai Rathod</t>
  </si>
  <si>
    <t>-</t>
  </si>
  <si>
    <t>ZUNO</t>
  </si>
  <si>
    <t>SAOD</t>
  </si>
  <si>
    <t>OF</t>
  </si>
  <si>
    <t>AG</t>
  </si>
  <si>
    <t>TORQUE</t>
  </si>
  <si>
    <t>YES</t>
  </si>
  <si>
    <t>JUNA NAGDAVAS,, MORBI, , MORBI Rajkot - 363670,Gujarat</t>
  </si>
  <si>
    <t>GJ36AF5853</t>
  </si>
  <si>
    <t>AVO/2378/12568750</t>
  </si>
  <si>
    <t>MARUTI SUZUKI EECO 5 STR</t>
  </si>
  <si>
    <t>Chavada Sanjaybhai Hirajibhai</t>
  </si>
  <si>
    <t>UNIVERSAL</t>
  </si>
  <si>
    <t>TP</t>
  </si>
  <si>
    <t>SW</t>
  </si>
  <si>
    <t>31-12-2026</t>
  </si>
  <si>
    <t>S/O Hirajibhai Chavada, tikar, Ti kar, Surendra Nagar, Tikar (ran), Gujarat, 363330 MORBI GUJARAT INDIA363330</t>
  </si>
  <si>
    <t>GJ36T7966</t>
  </si>
  <si>
    <t>3379/04574208/000/00</t>
  </si>
  <si>
    <t>LGV</t>
  </si>
  <si>
    <t>BOLERO - MAXI TRUCK PLUS BS IV PS</t>
  </si>
  <si>
    <t>VINODBHAI SATABHAI MAKWANA</t>
  </si>
  <si>
    <t>CF&amp;PUC</t>
  </si>
  <si>
    <t>31/12/2026</t>
  </si>
  <si>
    <t>CHOLA</t>
  </si>
  <si>
    <t>FULL</t>
  </si>
  <si>
    <t>SN</t>
  </si>
  <si>
    <t>DC</t>
  </si>
  <si>
    <t>MAFATIYAPARA AT SUNDARI BHAVANI TA HALVAD MORBI, MORBI,RAJKOT GUJARAT,PIN- 363641</t>
  </si>
  <si>
    <t>GJ36V5737</t>
  </si>
  <si>
    <t>3379/04574186/000/00</t>
  </si>
  <si>
    <t>BOL MAXX PUP - 1.3 CITY LX BSVI</t>
  </si>
  <si>
    <t>PARMAR JETHABHAI KANJIBHAI</t>
  </si>
  <si>
    <t>RN</t>
  </si>
  <si>
    <t>RAJPUT STREET SUNDARBHAVANI HALVAD, MORBI GUJARAT,, HALVAD S.O,SURENDRA NAGAR GUJARAT,PIN- 363330</t>
  </si>
  <si>
    <t>GJ36V4247</t>
  </si>
  <si>
    <t>3379/04574196/000/00</t>
  </si>
  <si>
    <t>BOL MAXX PUP - 1.3 CITY VXI BSVI</t>
  </si>
  <si>
    <t>SANJAYBHAI TEJABHAI SAPARA</t>
  </si>
  <si>
    <t>AT SUNDARI BHAVANI TAL HALVAD MORBI, HALVAD S.O,SURENDRA NAGAR GUJARAT,PIN- 363330</t>
  </si>
  <si>
    <t>GJ36J4674</t>
  </si>
  <si>
    <t>12-1806-0008700922-00</t>
  </si>
  <si>
    <t>2W</t>
  </si>
  <si>
    <t>HONDA ACTIVA</t>
  </si>
  <si>
    <t>Mundadiya Vaibhavkumar Jagdish</t>
  </si>
  <si>
    <t>BAJAJ</t>
  </si>
  <si>
    <t>IS</t>
  </si>
  <si>
    <t>25-12-2032</t>
  </si>
  <si>
    <t>Rajpar Rajkot, , , Morabi,, Rajkot,, Gujarat-363641</t>
  </si>
  <si>
    <t>GJ36V2126</t>
  </si>
  <si>
    <t>3379/04574181/000/00</t>
  </si>
  <si>
    <t>GAUSWAMI YOGESHKUMAR RAMESHBHARTHI</t>
  </si>
  <si>
    <t>95 BHARVAD VAS MAFATIYAPARU SUNDARI TAL HALVAD MORBI, HALVAD S.O,SURENDRA NAGAR GUJARAT,PIN- 363330</t>
  </si>
  <si>
    <t>GJ10TY7949</t>
  </si>
  <si>
    <t>3003/423432086/00/000</t>
  </si>
  <si>
    <t>HGV</t>
  </si>
  <si>
    <t>ASHOK LEYLAND TANKER</t>
  </si>
  <si>
    <t>RAJDEEP BALUBHA JADEJA</t>
  </si>
  <si>
    <t>96242 55432</t>
  </si>
  <si>
    <t>ICICI</t>
  </si>
  <si>
    <t>NH</t>
  </si>
  <si>
    <t>16-01-2028</t>
  </si>
  <si>
    <t>18-01-2027</t>
  </si>
  <si>
    <t>19-01-2031</t>
  </si>
  <si>
    <t>NEAR JAIN MANDIR VILLAGE MOTI KHAVI POST MOTI KHAVDI, JAMNAGAR, GUJARAT 361140</t>
  </si>
  <si>
    <t>GJ10TY8409</t>
  </si>
  <si>
    <t>3003/423431785/00/000</t>
  </si>
  <si>
    <t>GJ36U1920</t>
  </si>
  <si>
    <t>213049/31/26/010428</t>
  </si>
  <si>
    <t>3W PCV</t>
  </si>
  <si>
    <t>BAJAJ AUTO - RE COMPACT PLUS</t>
  </si>
  <si>
    <t>MR. RAMESHBHAI PREMJIBHAI KAGATHARA</t>
  </si>
  <si>
    <t>CF</t>
  </si>
  <si>
    <t>17/01/2027</t>
  </si>
  <si>
    <t>SHRIRAM</t>
  </si>
  <si>
    <t>NEAR MAHAKALI MILL DHOLESHWAR ROAD MORBI GUJARAT, 363641 , MORBIRAJKOT , RAJKOT, GUJARAT - 363641</t>
  </si>
  <si>
    <t>GJ36W1175</t>
  </si>
  <si>
    <t>213049/31/26/010427</t>
  </si>
  <si>
    <t>BAJAJ AUTO - MAXIMA Z CNG BS 6</t>
  </si>
  <si>
    <t>MR. RAFIK MOVAR</t>
  </si>
  <si>
    <t>30-10-2027</t>
  </si>
  <si>
    <t>15-01-2026</t>
  </si>
  <si>
    <t>JAMNAGAR ROAD VADA VISTAR, MALIYA MIYANA, , RAJKOT, GUJARAT, 363670 , RAJKOTRAJKOT , RAJKOT, GUJARAT - 36000</t>
  </si>
  <si>
    <t>GJ36U4075</t>
  </si>
  <si>
    <t>213049/31/26/010426</t>
  </si>
  <si>
    <t>MR. FAKIR SHABIR RASUL</t>
  </si>
  <si>
    <t>PV</t>
  </si>
  <si>
    <t>22-10-2026</t>
  </si>
  <si>
    <t>GHANCHI SHERI, -, KANYASHALA SAME, MALIYA, RAJKOT, GUJARAT - 363670 , MALIYA MIYANA , RAJKOT, GUJARAT - 36367</t>
  </si>
  <si>
    <t>GJ36W0959</t>
  </si>
  <si>
    <t>213049/31/26/010425</t>
  </si>
  <si>
    <t>MR. FIROJ RAHIM MOVAR</t>
  </si>
  <si>
    <t>JAMNAGAR ROAD VADA VISTAR, MALIYA MIYANA,, MORBI-GUJARAT-363670 , MALIYA MIYANA , RAJKOT, GUJARAT - 36367</t>
  </si>
  <si>
    <t>GJ36AP5017</t>
  </si>
  <si>
    <t>HYUNDAI I20</t>
  </si>
  <si>
    <t>Mr. Tota Khodidas Nanjibha</t>
  </si>
  <si>
    <t>VR</t>
  </si>
  <si>
    <t>30-12-2030</t>
  </si>
  <si>
    <t>KERALA MORBI MDG GUJARAT Rajkot - 363641,Gujarat</t>
  </si>
  <si>
    <t>GJ36X7444</t>
  </si>
  <si>
    <t>213049/31/26/010423</t>
  </si>
  <si>
    <t>EICHER - PRO 2118 L HSD 22FT BSVI NGB 7S 190L#</t>
  </si>
  <si>
    <t>MR. MAHMADKHAN DILAVARKHAN JALWANI</t>
  </si>
  <si>
    <t>AS</t>
  </si>
  <si>
    <t>MADINA SOCIETY,, GHANTI PACHAL,, VISIPARA,, MORBI, GUJARAT, , MORBI , RAJKOT, GUJARAT - 36</t>
  </si>
  <si>
    <t>GJ36X7443</t>
  </si>
  <si>
    <t>213049/31/26/010422</t>
  </si>
  <si>
    <t>MADINA SOCIETY,, GHANTI PACHAL,, VISIPARA,, MORBIGUJARAT-363641 , MORBI , RAJKOT, GUJARAT - 36364</t>
  </si>
  <si>
    <t>GJ10TV4939</t>
  </si>
  <si>
    <t>3003/423511350/00/000</t>
  </si>
  <si>
    <t>TATA MOTORS PICK-UP VANS</t>
  </si>
  <si>
    <t>KASAMBHAI ABDULBHAI GHODIVARA</t>
  </si>
  <si>
    <t>90672 15235</t>
  </si>
  <si>
    <t>29-01-2026</t>
  </si>
  <si>
    <t>AT GARIB NAWAZ CHOWK SIKKA TAL JAMNAGAR, JAMNAGAR, JAMNAGAR, GUJARAT 361140</t>
  </si>
  <si>
    <t>GJ13AX9595</t>
  </si>
  <si>
    <t>POCMVGC0100629015</t>
  </si>
  <si>
    <t>Ashok Leyland,2518</t>
  </si>
  <si>
    <t>Mr.MUHEED UDDIN</t>
  </si>
  <si>
    <t>SBI</t>
  </si>
  <si>
    <t>AL</t>
  </si>
  <si>
    <t>27-04-2026</t>
  </si>
  <si>
    <t>19-03-2030</t>
  </si>
  <si>
    <t>131 ,KHUSHINAGAR 3 ,CHOTILA ,Surendra Nagar,Gujarat363520,India</t>
  </si>
  <si>
    <t>GJ36F9396</t>
  </si>
  <si>
    <t>POPMCAR00102248410</t>
  </si>
  <si>
    <t>Tata Motors,Hexa &amp; XTA 4*2 7STR</t>
  </si>
  <si>
    <t>Mr VIDJA DALSUKHBHAI HARJIVANBHAI</t>
  </si>
  <si>
    <t>FB</t>
  </si>
  <si>
    <t>15-01-2033</t>
  </si>
  <si>
    <t>30-03-2026</t>
  </si>
  <si>
    <t>GOKUL MATHURA SOCIETY FORTUNE HEIGHTS,. BLOCK NO. 201, UMIYA CIRCLE, CANAL ROAD, PO. MORBI, Rajkot, Gujarat 363641</t>
  </si>
  <si>
    <t>GJ36U9185</t>
  </si>
  <si>
    <t>POCMVGC0100631191</t>
  </si>
  <si>
    <t>3W GCV</t>
  </si>
  <si>
    <t>Bajaj Auto Limited,Maxima C &amp; CNG</t>
  </si>
  <si>
    <t>Mr.SHANKHESARIYA NILESHBHAI</t>
  </si>
  <si>
    <t>13-12-2024</t>
  </si>
  <si>
    <t>NAVA PARA ,PANCHSER ROAD AMARSER,WANKANER,Rajkot,Gujarat363621,Ind ia</t>
  </si>
  <si>
    <t>GJ03CT2117</t>
  </si>
  <si>
    <t>POCMVGC0100631194</t>
  </si>
  <si>
    <t>Mr.MARVANIYA KHODIDAS</t>
  </si>
  <si>
    <t>17-11-2026</t>
  </si>
  <si>
    <t>KUVADVA,.,RAJKOT,Rajkot,Gujarat360001,India</t>
  </si>
  <si>
    <t>GJ36U9416</t>
  </si>
  <si>
    <t>POCMVGC0100631190</t>
  </si>
  <si>
    <t>NAVA PARA,PANCHSHER ROAD ,AMARSER WANKANER ,Rajkot,Gujarat360001,India</t>
  </si>
  <si>
    <t>GJ27WA1241</t>
  </si>
  <si>
    <t>POCMVGC0100631175</t>
  </si>
  <si>
    <t>Mr.BRIJPAL SHRINANDRAM PAL</t>
  </si>
  <si>
    <t>21-08-2025</t>
  </si>
  <si>
    <t>B 36 KIRTI NAGAR,B/H COURT NAROL ,AHMDABAD,Ahmedabad,Gujarat382440,India</t>
  </si>
  <si>
    <t>GJ36V5765</t>
  </si>
  <si>
    <t>2315 2080 5660 9700 000</t>
  </si>
  <si>
    <t>SUPER CARRY - STD CNG</t>
  </si>
  <si>
    <t>MR CHUHAN JESHINGBHAI RUPABHAI</t>
  </si>
  <si>
    <t>HDFC</t>
  </si>
  <si>
    <t>KALIKA PLOT SERI NO 2 BEHIND SATVARA BORDING RAVAPAR ROAD MORVI RAJKOT MORBI MDG GUJARAT RAJKOT RAJKOT GUJARAT 363641</t>
  </si>
  <si>
    <t>GJ36U9162</t>
  </si>
  <si>
    <t>213049/31/26/010454</t>
  </si>
  <si>
    <t>MR. KANJIBHAI NONDHANBHAI NAKUM</t>
  </si>
  <si>
    <t>BHAMBHOLINI VADI,RAVAPAR ROAD,,363641 , MORBIRAJKOT , RAJKOT, GUJARAT - 363</t>
  </si>
  <si>
    <t>GJ36U6853</t>
  </si>
  <si>
    <t>213049/31/26/010451</t>
  </si>
  <si>
    <t>MR. BUTESH TALSHIBHAI JOGADIYA</t>
  </si>
  <si>
    <t>HP</t>
  </si>
  <si>
    <t>26-10-2025</t>
  </si>
  <si>
    <t>GHUNTU GHUNADA SAJANPAR MORBI GJ 363641 , GHUNTU , RAJKOT, GUJARAT - 3636</t>
  </si>
  <si>
    <t>GJ36U8528</t>
  </si>
  <si>
    <t>213049/31/26/010452</t>
  </si>
  <si>
    <t>MR. IBRAHIM ABDULRAHIM JEDA</t>
  </si>
  <si>
    <t>DARIYALAL VALI STREET,-,MARIYA, PO:MALIYA MIYANA, DIST:RAJKOT,GARAT. 363670 , MALIYA MIYANA , RAJKOT, GUJARAT - 363</t>
  </si>
  <si>
    <t>GJ36W2892</t>
  </si>
  <si>
    <t>213049/31/26/010453</t>
  </si>
  <si>
    <t>MR. NURMAMAD AMAD SOTA</t>
  </si>
  <si>
    <t>20/01/2027</t>
  </si>
  <si>
    <t>PY</t>
  </si>
  <si>
    <t>20-01-2027</t>
  </si>
  <si>
    <t>20-01-2026</t>
  </si>
  <si>
    <t>26-01-2030</t>
  </si>
  <si>
    <t>NAVLAKHI BANDAR, VAVANIYA, , MORBI, GUJARAT, 363660 , VAVANIA , RAJKOT, GUJARAT - 36366</t>
  </si>
  <si>
    <t>GJ13AX6504</t>
  </si>
  <si>
    <t>3379/04218997/000/01</t>
  </si>
  <si>
    <t>BOL MAXX PUP - 1.7 CITY LX BSVI</t>
  </si>
  <si>
    <t>VIRAJIBHAI GELABHAI MER</t>
  </si>
  <si>
    <t>31-05-2026</t>
  </si>
  <si>
    <t>NR CHORA GALI AT NALIYERI JANIVADLA TAL CHOTILA DIST SURENDRANAGAR, CHOTILA S.O,SURENDRA NAGAR GUJARAT,PIN- 363520</t>
  </si>
  <si>
    <t>GJ36W2801</t>
  </si>
  <si>
    <t>0604003125P115449922</t>
  </si>
  <si>
    <t>BAJAJ AUTO LTD / BAJAJ MAXIMA CARGO CNG</t>
  </si>
  <si>
    <t>MR RAMESHBHAI JETHUPAL PAL</t>
  </si>
  <si>
    <t>UNITED</t>
  </si>
  <si>
    <t>GOKUL NAGAR MAKANSAR 363642 RAJKOT GUJARAT</t>
  </si>
  <si>
    <t>GJ03DN6481</t>
  </si>
  <si>
    <t>12-1805-0008717258-00</t>
  </si>
  <si>
    <t>HYUNDAI ACCENT</t>
  </si>
  <si>
    <t>Chaniya Hajibhai Nurmamadbhai</t>
  </si>
  <si>
    <t>23-02-2026</t>
  </si>
  <si>
    <t>Kabir Street No 2, Chaniya Community Hall, Vali Street, Opp Police Line, Morbi Gujarat, , , Morbi,, Rajkot,, Gujarat-363641</t>
  </si>
  <si>
    <t>GJ36S2292</t>
  </si>
  <si>
    <t>213049/31/26/010440</t>
  </si>
  <si>
    <t>OTH</t>
  </si>
  <si>
    <t>JOHN DEERE - 5310 V6</t>
  </si>
  <si>
    <t>SPERA VITRIFIED LLP</t>
  </si>
  <si>
    <t>23-06-2026</t>
  </si>
  <si>
    <t>SARDARNAGAR 1 FLAT NO 302 CHANAKYA APPARTMENT CHHATRALAY RD SANALA ROAD AT MORBI TAL MORBI MORBI GJ3 , MORBI , RAJKOT, GUJARAT - 363641 ,</t>
  </si>
  <si>
    <t>GJ13AW1289</t>
  </si>
  <si>
    <t>3003/A/423565355/00/B00</t>
  </si>
  <si>
    <t>TATA MOTORS TRUCKS LPT 1109/42 TRUCK</t>
  </si>
  <si>
    <t>RAMESHBHAI KARSHANBHAI BHARVAD</t>
  </si>
  <si>
    <t>17-06-2026</t>
  </si>
  <si>
    <t>AT NAVAPARA 2 OL TAL WANKANER, MORBI, RAJKOT, GUJARAT 363642</t>
  </si>
  <si>
    <t>GJ36T3855</t>
  </si>
  <si>
    <t>2315 2080 5825 6400 000</t>
  </si>
  <si>
    <t>SUPER CARRY - STD</t>
  </si>
  <si>
    <t>MR AJMERI NIZAM YUNUSBHAI</t>
  </si>
  <si>
    <t>15-01-2020</t>
  </si>
  <si>
    <t>KANBIPARA HALVAD HALVAD SURENDRA NAGAR GUJARAT SURENDRA NAGAR SURENDRA NAGAR GUJARAT 363330</t>
  </si>
  <si>
    <t>GJ36V8152</t>
  </si>
  <si>
    <t>POCMVGC0100633191</t>
  </si>
  <si>
    <t>Tata Motors,LPT 151</t>
  </si>
  <si>
    <t>Mr.KANABHAI MANGABHAI PARMAR</t>
  </si>
  <si>
    <t>18-03-2026</t>
  </si>
  <si>
    <t>ANDARANA, MORBI,GUJRAT,ZINKIYALI,Rajkot,Gujarat363641, Indi</t>
  </si>
  <si>
    <t>GJ36U8917</t>
  </si>
  <si>
    <t>POCMVGC0100633343</t>
  </si>
  <si>
    <t>Mr.VISHAL MOMBHAI LAMBARIYA</t>
  </si>
  <si>
    <t>13-09-2026</t>
  </si>
  <si>
    <t>VAJEPAR STREET NO 22 MDG TA MORBI,MORBI,GUJARAT,Rajkot,Gujarat363641,I ndia</t>
  </si>
  <si>
    <t>GJ36W8898</t>
  </si>
  <si>
    <t>POCMVGC0100633345</t>
  </si>
  <si>
    <t>Bajaj Auto Limited,Maxima &amp; Cargo CNG DAC</t>
  </si>
  <si>
    <t>Mr.NATAVARLAL MANSUKHLAL SITAPRA</t>
  </si>
  <si>
    <t>TITHAVA,WANKANER,MORBI,Rajkot,Gujarat3636 21,India</t>
  </si>
  <si>
    <t>GJ12X1389</t>
  </si>
  <si>
    <t>3003/A/423620161/00/B00</t>
  </si>
  <si>
    <t>MGV</t>
  </si>
  <si>
    <t>TATA MOTORS TRUCKS LPT 909.</t>
  </si>
  <si>
    <t>DHARAJIYA VIJAYBHAI KHODABHAI</t>
  </si>
  <si>
    <t>29-06-2026</t>
  </si>
  <si>
    <t>RASIK PARA STREET NO 3 AT VANKANER JIN PARA MORBI, MORBI, RAJKOT, GUJARAT 363621</t>
  </si>
  <si>
    <t>GJ14Z0049</t>
  </si>
  <si>
    <t>3379/04577075/000/00</t>
  </si>
  <si>
    <t>ASHOK LEYLAND</t>
  </si>
  <si>
    <t>SOHILBHAI HASAMBHAI ISHANI</t>
  </si>
  <si>
    <t>21-01-2026</t>
  </si>
  <si>
    <t>15-07-2026</t>
  </si>
  <si>
    <t>SUMRA SOC AT-GONDAL DIST-RAJKOT, SUMRA SOC ATGONDAL DISTRAJKOT, ,, GONDAL H.O,RAJKOT GUJARAT,PIN- 360311</t>
  </si>
  <si>
    <t>GJ36AL1502</t>
  </si>
  <si>
    <t>160222623090000208</t>
  </si>
  <si>
    <t>TATA ALTROZ XM PLUS ICNG</t>
  </si>
  <si>
    <t>Mr. NIRAJ MUKESHBHAI KHOKHANI</t>
  </si>
  <si>
    <t>RELIANCE</t>
  </si>
  <si>
    <t>27-12-2026</t>
  </si>
  <si>
    <t>604 SHIV PALACE NANI CANAL ROAD OPP AVADH 4 SOCIETY MORBI MORBI, GUJARAT, India, 363641</t>
  </si>
  <si>
    <t>GJ36AF6435</t>
  </si>
  <si>
    <t>12-1805-0008730364-00</t>
  </si>
  <si>
    <t>MARUTI ALTO</t>
  </si>
  <si>
    <t>Bhoraniya Mayurkumar Shamjibhai</t>
  </si>
  <si>
    <t>MG</t>
  </si>
  <si>
    <t>24-01-2038</t>
  </si>
  <si>
    <t>24-01-2026</t>
  </si>
  <si>
    <t>Juna Devaliya Surendranagar, , , Devaliya,, Surendra Nagar,, Gujarat-363330</t>
  </si>
  <si>
    <t>GJ36W3999</t>
  </si>
  <si>
    <t>0604003125P115545150</t>
  </si>
  <si>
    <t>MS MITVA FOOD</t>
  </si>
  <si>
    <t>16-11-2026</t>
  </si>
  <si>
    <t>SHIVALAY APPARTMENT ANUPAM SOCIETY MILAN PARK PASE VTC MORVI PPW</t>
  </si>
  <si>
    <t>GJ14E3519</t>
  </si>
  <si>
    <t>MARUTI SWIFT</t>
  </si>
  <si>
    <t>Mr. Vishalkumar chandulal Lokhil</t>
  </si>
  <si>
    <t>29-06-2025</t>
  </si>
  <si>
    <t>NEAR RAMJI TEMPLE VENASAR VENASAR RAJKOT Rajkot - 363630,Gujarat</t>
  </si>
  <si>
    <t>GJ36AF5956</t>
  </si>
  <si>
    <t>12-1805-0008730327-00</t>
  </si>
  <si>
    <t>MARUTI DZIRE</t>
  </si>
  <si>
    <t>Hardiksinh Zala</t>
  </si>
  <si>
    <t>28-12-2037</t>
  </si>
  <si>
    <t>Gayatrinagar Road, Vavdi Road, Morbi, , , Morbi,, Rajkot,, Gujarat-363641</t>
  </si>
  <si>
    <t>GJ36T7812</t>
  </si>
  <si>
    <t>POCMVGC0100636182</t>
  </si>
  <si>
    <t>Tata Motors,LPT</t>
  </si>
  <si>
    <t>Mr.NANGAS SATISHBHAI SAMANTBHAI</t>
  </si>
  <si>
    <t>15-03-2026</t>
  </si>
  <si>
    <t>28-11-2026</t>
  </si>
  <si>
    <t>LAJAI,MORBI,MDG,Rajkot,Gujarat360001,India</t>
  </si>
  <si>
    <t>GJ05YY6058</t>
  </si>
  <si>
    <t>3003/A/423701952/00/B00</t>
  </si>
  <si>
    <t>TATA MOTORS TRAILERS</t>
  </si>
  <si>
    <t>MOTLANI MAKSUD MAMADBHA</t>
  </si>
  <si>
    <t>15-04-2026</t>
  </si>
  <si>
    <t>15-01-2029</t>
  </si>
  <si>
    <t>ROHIDAS PARA, NEAR 4 GODAM, V.C.PARA, MORVI, RAJKOT, GUJARAT - 363641, 4, - 363641, MORBI, GUJARAT 363641</t>
  </si>
  <si>
    <t>GJ36T5591</t>
  </si>
  <si>
    <t>POCMVGC0100635855</t>
  </si>
  <si>
    <t>Tata Motors,LPT 1412</t>
  </si>
  <si>
    <t>Mr.CHAUHAN HANIFBHAI MAHEMUDBHAI</t>
  </si>
  <si>
    <t>19-12-2029</t>
  </si>
  <si>
    <t>FIRDOSH SOCIETY BEHIND NARMADA,QWATERS ,.,Surendra Nagar,Gujarat363001,India</t>
  </si>
  <si>
    <t>GJ36V2910</t>
  </si>
  <si>
    <t>3003/423649229/00/000</t>
  </si>
  <si>
    <t>M &amp; M PICK-UP VANS</t>
  </si>
  <si>
    <t>PARMAR YASHPALSIH MAHIPAT SINH</t>
  </si>
  <si>
    <t>17-12-2026</t>
  </si>
  <si>
    <t>17-09-2026</t>
  </si>
  <si>
    <t>CHANCHAPAR, MORBI, MORBI, GUJARAT 363641</t>
  </si>
  <si>
    <t>GJ36U6540</t>
  </si>
  <si>
    <t>POCMVGC0100636453</t>
  </si>
  <si>
    <t>Mr.AJMERI BADRUDIN YUNUSBHAI</t>
  </si>
  <si>
    <t>HALVAD,SURENDRANAGAR,GUJARAT,Surendra Nagar,Gujarat363330,India</t>
  </si>
  <si>
    <t>GJ36S2825</t>
  </si>
  <si>
    <t>3380/03056287/000/00</t>
  </si>
  <si>
    <t>ACTION CONSTRUCTION EQUIPMENT LTD</t>
  </si>
  <si>
    <t>ANVAR ABDULBHAI SUMRA</t>
  </si>
  <si>
    <t>15-07-2024</t>
  </si>
  <si>
    <t>LATI PLOT STREET NO: 13, NEAR OLD, STAND,VILLAGE&amp;TAL:MORBI,,MORBI,,, MORBI GIDC S.O,RAJKOT GUJARAT,PIN- 363641</t>
  </si>
  <si>
    <t>GJ36S3888</t>
  </si>
  <si>
    <t>3380/03056288/000/00</t>
  </si>
  <si>
    <t>ARIF ABDULBHAI SUMRA</t>
  </si>
  <si>
    <t>LATI PLOT STREET NO: 13, NEAR OLD BUS STAND, VILLAGE&amp;TAL:MORBIMORBIGUJARAT, MORBI GIDC S.O,RAJKOT GUJARAT,PIN- 363641</t>
  </si>
  <si>
    <t>GJ01CV7807</t>
  </si>
  <si>
    <t>3379/04579942/000/00</t>
  </si>
  <si>
    <t>TATA MOTORS</t>
  </si>
  <si>
    <t>KAROTRA MAHESH BABUBHA</t>
  </si>
  <si>
    <t>PUC</t>
  </si>
  <si>
    <t>GHUNTU GHUNTU MORBI AHMEDABAD GUJARAT, MORBI GIDC S.O,RAJKOT GUJARAT,PIN- 363641</t>
  </si>
  <si>
    <t>GJ03BY6957</t>
  </si>
  <si>
    <t>3379/04579934/000/00</t>
  </si>
  <si>
    <t>KADRI MAHMADBHAI GAFARMIYA</t>
  </si>
  <si>
    <t>RAIYA 50 VARIYA QUATER,, NEAR MADRESHA,RAIYA, ,, RAJKOT, RAJKOT RAIYA ROAD S.O,RAJKOT GUJARAT,PIN- 360007</t>
  </si>
  <si>
    <t>GJ11TT6108</t>
  </si>
  <si>
    <t>3379/04579881/000/00</t>
  </si>
  <si>
    <t>NILESHBHAI RANCHHODBHAI MAKVANA</t>
  </si>
  <si>
    <t>24-02-2026</t>
  </si>
  <si>
    <t>17-02-2030</t>
  </si>
  <si>
    <t>MAKANSAR,MAKANSAR, ,TA MORBI,MORBI,GUJARAT MORBI RAJKOT,,,, MORBI PPW S.O,RAJKOT GUJARAT,PIN- 363642</t>
  </si>
  <si>
    <t>GJ36V8103</t>
  </si>
  <si>
    <t>3379/04579840/000/00</t>
  </si>
  <si>
    <t>BHARATBHAI HIRABHAI MAKVANA</t>
  </si>
  <si>
    <t>31-12-2025</t>
  </si>
  <si>
    <t>BHARAT NAGAR NI BAJU MA VIKRAMVADI AT MORBI, MORBI PPW S.O,RAJKOT GUJARAT,PIN- 363642</t>
  </si>
  <si>
    <t>GJ36T5079</t>
  </si>
  <si>
    <t>3379/04579827/000/00</t>
  </si>
  <si>
    <t>BOLERO - PIKUP CBC 1.7T</t>
  </si>
  <si>
    <t>BHATTI RAMJANBHAI HARUNBHAI</t>
  </si>
  <si>
    <t>NAVAPARA KHIRAI MORBI,, MORBI,MORBI GUJARAT,PIN- 363641</t>
  </si>
  <si>
    <t>GJ36V8302</t>
  </si>
  <si>
    <t>3379/04227726/000/01</t>
  </si>
  <si>
    <t>KHARGIYA LALJI VELJIBHAI</t>
  </si>
  <si>
    <t>6355 612 039</t>
  </si>
  <si>
    <t>26-10-2026</t>
  </si>
  <si>
    <t>19-01-2030</t>
  </si>
  <si>
    <t>ANIYANRI, MORBI, MORBI,MORBI GUJARAT,PIN- 363641</t>
  </si>
  <si>
    <t>GJ13AW4068</t>
  </si>
  <si>
    <t>3379/04137989/000/01</t>
  </si>
  <si>
    <t>BOLERO - PICK UP FB PS 1.7 T XL</t>
  </si>
  <si>
    <t>SAIYAD MAMAD JAMAL FAKIRMAMAD</t>
  </si>
  <si>
    <t>21-03-2027</t>
  </si>
  <si>
    <t>NAYAB KALEKCTER KACHERI, NR JIMKHANA. SEKH FALIYA,ANJAR KACHCHH, ANJAR S.O,KACHCHH GUJARAT,PIN- 370110</t>
  </si>
  <si>
    <t>GJ36W1214</t>
  </si>
  <si>
    <t>213049/31/26/010517</t>
  </si>
  <si>
    <t>MR. SOLANKI CHANDRESH RAMESHBHAI</t>
  </si>
  <si>
    <t>15/01/2027</t>
  </si>
  <si>
    <t>VANKIYA , VANKIYA , RAJKOT , GUJARAT - 363621 , VANKIYARAJKOT , RAJKOT, GUJARAT - 36362</t>
  </si>
  <si>
    <t>GJ13AV4001</t>
  </si>
  <si>
    <t>213049/31/26/010514</t>
  </si>
  <si>
    <t>MR. SOLANKI MUSTAKBHAI REMANBHAI</t>
  </si>
  <si>
    <t>14-01-2026</t>
  </si>
  <si>
    <t>31-01-2029</t>
  </si>
  <si>
    <t>GHACHIVAD , CHOTILA , SURENDRA NAGAR , CHOTILA , GUJARAT - 363520 , CHOTILASURENDRA NAGAR , SURENDRA NAGAR, GUJARAT - 363520 ,Mob</t>
  </si>
  <si>
    <t>GJ36W6833</t>
  </si>
  <si>
    <t>213049/31/26/010516</t>
  </si>
  <si>
    <t>MR. VITHALBHAI VALJIBHAI BOKHANI</t>
  </si>
  <si>
    <t>30-01-2029</t>
  </si>
  <si>
    <t>NARANKA , MDG, MORBI GUJARAT, 363641 , MORBI , RAJKOT, GUJARAT - 3636</t>
  </si>
  <si>
    <t>GJ36V7585</t>
  </si>
  <si>
    <t>213049/31/26/010515</t>
  </si>
  <si>
    <t>LPV</t>
  </si>
  <si>
    <t>MARUTI SUZUKI - ERTIGA TOUR M (O) CNG</t>
  </si>
  <si>
    <t>MR. PRAKASHBHAI NATHUBHAI CHAVDA</t>
  </si>
  <si>
    <t>87587 01113</t>
  </si>
  <si>
    <t>26-12-2029</t>
  </si>
  <si>
    <t>AT MAHIKA, TA WANKANER, DIS MORBI, MORBI-GUJARAT-363621 , MAHIKA , RAJKOT, GUJARAT - 36362</t>
  </si>
  <si>
    <t>GJ36U5710</t>
  </si>
  <si>
    <t>213049/31/26/010513</t>
  </si>
  <si>
    <t>MR. MAHESH N GANGIYA</t>
  </si>
  <si>
    <t>KUBER TILES SAMA KANTHE MORVI RAJKOT MORBI PPW , PIPLIRAJKOT , RAJKOT, GUJARAT - 36364</t>
  </si>
  <si>
    <t>GJ36S4463</t>
  </si>
  <si>
    <t>213049/31/26/010512</t>
  </si>
  <si>
    <t>AJAX - ARGO 2000 NS E1 R</t>
  </si>
  <si>
    <t>MR. BHAGVANJI BABUBHAI SAVARIYA</t>
  </si>
  <si>
    <t>PR</t>
  </si>
  <si>
    <t>17-02-2026</t>
  </si>
  <si>
    <t>GROUND FLOOR, SHOP NO- 18, BALAJI COMPLEX, BAHADURGADH, SURVEY NO- 130 PAIKI 1, MORBI-3636 , MORBI , RAJKOT, GUJARAT - 363641</t>
  </si>
  <si>
    <t>GJ03BW6563</t>
  </si>
  <si>
    <t>213049/31/26/010511</t>
  </si>
  <si>
    <t>TATA MOTORS - INTRA V30 NON-AC BS 6</t>
  </si>
  <si>
    <t>MR. JADEJA RAMDEVSINH BHAGVATSINH</t>
  </si>
  <si>
    <t>BR</t>
  </si>
  <si>
    <t>18-01-2028</t>
  </si>
  <si>
    <t>29-12-2026</t>
  </si>
  <si>
    <t>KHOKHARI (GHANSHYAMGADH). KHOKHRI, RAJKOT, PADDHARI, GUJARAT, 360110 , PADDHARI , RAJKOT, GUJARAT - 360110 ,</t>
  </si>
  <si>
    <t>GJ36U7659</t>
  </si>
  <si>
    <t>213049/31/26/010510</t>
  </si>
  <si>
    <t>MR. SHABIR IBRAHIMBHAI MOTALANI</t>
  </si>
  <si>
    <t>98259 79696</t>
  </si>
  <si>
    <t>RL</t>
  </si>
  <si>
    <t>16-02-2026</t>
  </si>
  <si>
    <t>16-01-2027</t>
  </si>
  <si>
    <t>MADINA SOCIETY V C PARA MORBI , - - RAJKOTMORBI , MORBI, GUJARAT - 363641 ,M</t>
  </si>
  <si>
    <t>GJ23X2775</t>
  </si>
  <si>
    <t>2315 2080 6796 0100 000</t>
  </si>
  <si>
    <t>DOST - LS</t>
  </si>
  <si>
    <t>MR MOHAMADBHAI BADRUDIN GULABI</t>
  </si>
  <si>
    <t>24/01/2027</t>
  </si>
  <si>
    <t>29-01-2027</t>
  </si>
  <si>
    <t>31-01-2026</t>
  </si>
  <si>
    <t>SAKINA MANZIL FAKHARI PARK 1 BH HOTHIPIR DARGAH LILAPAR ROAD MORBI 1 MORVI RAJKOT GUJARAT 363641 RAJKOT RAJKOT GUJARAT 363641</t>
  </si>
  <si>
    <t>GJ36V7132</t>
  </si>
  <si>
    <t>2315 2080 6770 2500 000</t>
  </si>
  <si>
    <t>SUPER CARRY</t>
  </si>
  <si>
    <t>MR DABHI NANJIBHAI KHIMJIBHAI</t>
  </si>
  <si>
    <t>JUNA SADULAKA JUNA SADULAKA JUNA ADULKA PO MORBI MDG DIST RAJKOT GUJARAT 63641 HELPUIDAIGOVIN RAJKOT RAJKOT GUJARAT 363641</t>
  </si>
  <si>
    <t>GJ13AX2331</t>
  </si>
  <si>
    <t>2315 2080 6765 8000 000</t>
  </si>
  <si>
    <t>MR NAKIYA PINTU BHIMABHAI</t>
  </si>
  <si>
    <t>30-11-2027</t>
  </si>
  <si>
    <t>30-11-2026</t>
  </si>
  <si>
    <t>DIGSAR SURENDRA NAGAR DIGSAR GUJARAT SURENDRA NAGAR SURENDRA NAGAR GUJARAT</t>
  </si>
  <si>
    <t>GJ36B9442</t>
  </si>
  <si>
    <t>HYUNDAI GRAND I10</t>
  </si>
  <si>
    <t>Mr. Kanzariya Motibhai Arjanbha</t>
  </si>
  <si>
    <t>25-06-2026</t>
  </si>
  <si>
    <t>AT KHOTANI WADI RAVAPAR ROAD MORBI MORBI - 363641,Gujarat</t>
  </si>
  <si>
    <t>GJ36V0527</t>
  </si>
  <si>
    <t>3379/04579212/000/00</t>
  </si>
  <si>
    <t>PIK UP FB 1.3T PS BS VI</t>
  </si>
  <si>
    <t>KUKABHAI LAKHABHAI BAMBHVA</t>
  </si>
  <si>
    <t>117 GADHVALO VISTAR CHORA VISTAR,WANKANER S.O,RAJKOT,GUJARAT,PIN - 363621</t>
  </si>
  <si>
    <t>GJ14Z9745</t>
  </si>
  <si>
    <t>POCMVGC0100637440</t>
  </si>
  <si>
    <t>Mr.LOKHIL VRUJRAJ DADUBHAI</t>
  </si>
  <si>
    <t>14-04-2026</t>
  </si>
  <si>
    <t>14-01-2030</t>
  </si>
  <si>
    <t>NEAR RAMJI TEMPLE,VENASER ,RAJKOT MALIYA ,Rajkot,Gujarat363630,India</t>
  </si>
  <si>
    <t>GJ12BW3360</t>
  </si>
  <si>
    <t>AVO/2315/20016591</t>
  </si>
  <si>
    <t>ASHOK LEYLAND LTD U-4019 TT BSIV</t>
  </si>
  <si>
    <t>R.T.SHIPPING SERVICES</t>
  </si>
  <si>
    <t>19-06-2026</t>
  </si>
  <si>
    <t>PLOT NO-128 , NEAR OSLO CIRCLE, OFFICE NO-108, FIRST FLOOR , MADHUBHAN COMPLEX, SECTOR-8, GANDHIDHAM Gujarat,Kachchh,370201 null GANDHIDHAM,GUJARAT370201</t>
  </si>
  <si>
    <t>GJ14Z9754</t>
  </si>
  <si>
    <t>POCMVGC0100636908</t>
  </si>
  <si>
    <t>Tata Motors,LPT 1109</t>
  </si>
  <si>
    <t>NEAR RAMJI TEMPLE VENASER ,RAJKOT,MALIYA,Rajkot,Gujarat363630,India</t>
  </si>
  <si>
    <t>GJ36V6192</t>
  </si>
  <si>
    <t>2315 2080 6851 2400 000</t>
  </si>
  <si>
    <t>MR VINJVADIYA MANUBHAI PREMJIBHAI</t>
  </si>
  <si>
    <t>JP</t>
  </si>
  <si>
    <t>NAVA JAMBUDIYA NAVA JAMBUDLYA JAMBUDIYA JAMBUDIYA RAJKOT GUJARAT RAJKOT RAJKOT GUJARAT 363642</t>
  </si>
  <si>
    <t>GJ36V2768</t>
  </si>
  <si>
    <t>2315 2080 6851 1200 000</t>
  </si>
  <si>
    <t>MR VIJAY LADHA BAMBHAVA</t>
  </si>
  <si>
    <t>AJ</t>
  </si>
  <si>
    <t>16-11-2024</t>
  </si>
  <si>
    <t>15-01-2025</t>
  </si>
  <si>
    <t>CHANCHAVADARDA CHANCHAVADARDA MALIYA MIYANA RAJKOT GUJARAT RAJKOT RAJKOT GUJARAT 363670</t>
  </si>
  <si>
    <t>GJ36V3418</t>
  </si>
  <si>
    <t>2315 2080 6851 9300 000</t>
  </si>
  <si>
    <t>MR FEFAR DHARMENDRA VIRJIBHAI</t>
  </si>
  <si>
    <t>23-01-2027</t>
  </si>
  <si>
    <t>22-01-2026</t>
  </si>
  <si>
    <t>GOKUL NAGAR MAKANSAR MORBI MAKANSAR MORBI GUJARAT RAJKOT RAJKOT GUJARAT 363642</t>
  </si>
  <si>
    <t>GJ01CZ1444</t>
  </si>
  <si>
    <t>2315 2080 6847 5900 000</t>
  </si>
  <si>
    <t>MR SIRAJUDDIN SAMSUDDIN MALEK</t>
  </si>
  <si>
    <t>1216OPP MUSTUFA SHAHID NI MASJID JAMALPUR ROAD AHEMDABAD AHMEDABAD AHMEDABAD GUJARAT 380001</t>
  </si>
  <si>
    <t>GJ36W2835</t>
  </si>
  <si>
    <t>POCMVGC0100638741</t>
  </si>
  <si>
    <t>Mr.GAMARA MUNNESH BHALABHAI</t>
  </si>
  <si>
    <t>VACHHAKPUR,.,RAJKOT,Rajkot,Gujarat363650,In dia</t>
  </si>
  <si>
    <t>GJ37T8881</t>
  </si>
  <si>
    <t>POCMVGC0100640969</t>
  </si>
  <si>
    <t>TATA MOTORS LPT1412</t>
  </si>
  <si>
    <t>MR.KHAMBHALA SANJAY RANCHHODBHAI</t>
  </si>
  <si>
    <t>14-01-2025</t>
  </si>
  <si>
    <t>18-12-2028</t>
  </si>
  <si>
    <t>LILAPAR,MORBI,MORBI,RAJKOT,GUJARAT363641,INDIA</t>
  </si>
  <si>
    <t>GJ36U7694</t>
  </si>
  <si>
    <t>0604003125P115687130</t>
  </si>
  <si>
    <t>BAJAJ AUTO LTD / BAJAJ MAXIMA C CNG</t>
  </si>
  <si>
    <t>MR RABARI VARJANGBHAI RAMJIBHAI</t>
  </si>
  <si>
    <t>19-12-2027</t>
  </si>
  <si>
    <t>RABARI VAS LAKHDHIRNAGAR MORBI MDG MORBI</t>
  </si>
  <si>
    <t>GJ36W4111</t>
  </si>
  <si>
    <t>213049/31/26/010544</t>
  </si>
  <si>
    <t>MR. RAHIL PIPARVADIYA</t>
  </si>
  <si>
    <t>98985 23503</t>
  </si>
  <si>
    <t>99786 47047</t>
  </si>
  <si>
    <t>17-10-2026</t>
  </si>
  <si>
    <t>15-01-2030</t>
  </si>
  <si>
    <t>ARNI TIMBA, TA WANKNER, , MORBI-363621 , WANKANER , RAJKOT, GUJARAT - 363621 ,</t>
  </si>
  <si>
    <t>GJ36W1324</t>
  </si>
  <si>
    <t>213049/31/26/010545</t>
  </si>
  <si>
    <t>MR. LABHUBHAI RAVJIBHAI SANKHESARIYA</t>
  </si>
  <si>
    <t>NAVA PLOT, KHAKHRECHI,, MORBI-GUJARAT-363630 , KHAKHRECHI , RAJKOT, GUJARAT - 363630 ,M</t>
  </si>
  <si>
    <t>GJ12Z0748</t>
  </si>
  <si>
    <t>3003/A/424129835/00/000</t>
  </si>
  <si>
    <t>JAYDEEP SALT WORKS</t>
  </si>
  <si>
    <t>JAYDEEP</t>
  </si>
  <si>
    <t>21-09-2026</t>
  </si>
  <si>
    <t>22-03-2026</t>
  </si>
  <si>
    <t>14-02-2029</t>
  </si>
  <si>
    <t>MOMAI KRUPA 2 KAYAJI PLOT SANALA ROAD MORBI , MORABI RAJKOT 363641, MORBI, GUJARAT 363641</t>
  </si>
  <si>
    <t>GJ36AF0129</t>
  </si>
  <si>
    <t>POPMCAR00102263784</t>
  </si>
  <si>
    <t>Maruti Suzuki,Baleno &amp; 1.2 Delta</t>
  </si>
  <si>
    <t>Mr RAJESHBHAI DHIRUBHAI MIYATRA</t>
  </si>
  <si>
    <t>23-11-2026</t>
  </si>
  <si>
    <t>PLOT NO- 42 P, DHARMSIDDHI SOCIETY JAMBUDIYA, DIST MORBI,MORBI, Rajkot, Gujarat 363642</t>
  </si>
  <si>
    <t>GJ36V6417</t>
  </si>
  <si>
    <t>3379/04580575/000/00</t>
  </si>
  <si>
    <t>BOLERO MAXX PUP</t>
  </si>
  <si>
    <t>MUNDHAVA RAJUBHAI RANCHODBHAI</t>
  </si>
  <si>
    <t>15-12-2026</t>
  </si>
  <si>
    <t>28-12-2030</t>
  </si>
  <si>
    <t>AT SAMTHETRVA TA WANKANER MORBI,WANKANER S.O,RAJKOT,GUJARAT,PIN - 363621</t>
  </si>
  <si>
    <t>GJ36V6185</t>
  </si>
  <si>
    <t>AVO/2315/20018231</t>
  </si>
  <si>
    <t>ASHOK LEYLAND LTD MJ3525/52 T TIP</t>
  </si>
  <si>
    <t>JAYDEEP ASSOCIATES PRIVATE LIMITED</t>
  </si>
  <si>
    <t>MALIYA, , AT VAVANIYA, TA MORBI Gujarat,Morbi,363641 null MORBI,GUJARAT363641</t>
  </si>
  <si>
    <t>GJ36V6202</t>
  </si>
  <si>
    <t>AVO/2315/20018224</t>
  </si>
  <si>
    <t>MALIYA, , AT VAVANIYA, TA MORBI Gujarat,Morbi,363641 null MORBI,GUJARAT363641 93******09</t>
  </si>
  <si>
    <t>GJ36V6273</t>
  </si>
  <si>
    <t>AVO/2315/20018234</t>
  </si>
  <si>
    <t>GJ03HN9061</t>
  </si>
  <si>
    <t>D246265152 / 07012026</t>
  </si>
  <si>
    <t>SPLENDOR PLUS/SPOCK</t>
  </si>
  <si>
    <t>ANTRESA BHARATBHAI JAGMALBHAI</t>
  </si>
  <si>
    <t>GO DIGIT</t>
  </si>
  <si>
    <t>15-06-2030</t>
  </si>
  <si>
    <t>MANVATI ELECTRIC STORE NR. OVER BRIDGE TRAJPAR MORBI RAJKOT GUJARAT - 363642,Rajkot-360021</t>
  </si>
  <si>
    <t>GJ03HF6684</t>
  </si>
  <si>
    <t>D246298289 / 07012026</t>
  </si>
  <si>
    <t>SPLENDOR PLUS/MAC</t>
  </si>
  <si>
    <t>MOTLANI MUSA MAHOMMAD</t>
  </si>
  <si>
    <t>16-10-2029</t>
  </si>
  <si>
    <t>ROHIDAS PARA, NEAR 4 GODAM, V C PARA MORVI,Rajkot-360021</t>
  </si>
  <si>
    <t>GJ36AF6887</t>
  </si>
  <si>
    <t>AVO/2378/12577842</t>
  </si>
  <si>
    <t>Movar Soeb Haidar</t>
  </si>
  <si>
    <t>PAREDI STREET, mu.po . maliya, -, Maliya, Rajkot, Gujarat - 363670 RAJKOT GUJARAT INDIA363670</t>
  </si>
  <si>
    <t>CPM</t>
  </si>
  <si>
    <t>ETI0011392000100</t>
  </si>
  <si>
    <t>HYDRAULIK EXCAVATOR</t>
  </si>
  <si>
    <t>SODHA DEEPAK</t>
  </si>
  <si>
    <t>ROYAL</t>
  </si>
  <si>
    <t>79 ROYALPUSHPAK PARK SOCIETY, OPP KHODIYAR COLONY, JAMNAGAR, JAMNAGAR361006 Gujarat</t>
  </si>
  <si>
    <t>GJ36V0991</t>
  </si>
  <si>
    <t>3379/04581275/000/00</t>
  </si>
  <si>
    <t>MESHANIYA CONSTRUCTION COMPANY</t>
  </si>
  <si>
    <t>WANKANER MORBI WANKANER GUJARA, ,WANKANER S.O,RAJKOT,GUJARAT,PIN - 363621</t>
  </si>
  <si>
    <t>GJ36V0809</t>
  </si>
  <si>
    <t>3379/04581276/000/00</t>
  </si>
  <si>
    <t>GJ36V0795</t>
  </si>
  <si>
    <t>3379/04581277/000/00</t>
  </si>
  <si>
    <t>GJ36V0761</t>
  </si>
  <si>
    <t>3379/04581279/000/00</t>
  </si>
  <si>
    <t>GJ36V0890</t>
  </si>
  <si>
    <t>3379/04581274/000/00</t>
  </si>
  <si>
    <t>GJ36V0834</t>
  </si>
  <si>
    <t>3379/04581273/000/00</t>
  </si>
  <si>
    <t>GJ03CU9192</t>
  </si>
  <si>
    <t>160622623340002061</t>
  </si>
  <si>
    <t>ASHOK LEYLAND 3518 &amp; IL</t>
  </si>
  <si>
    <t>MR. DUDHREJIYA JANKIDASH BABUBHAI</t>
  </si>
  <si>
    <t>27-01-2026</t>
  </si>
  <si>
    <t>28-01-2030</t>
  </si>
  <si>
    <t>16 KOLI VAS, NALIYERI SURENDRA NAGAR CHOTILA, SURENDRANAGAR CHOTILA, SURENDRANAGAR, GUJARAT, India, 363520.</t>
  </si>
  <si>
    <t>GJ03JD1544</t>
  </si>
  <si>
    <t>6106031024 00 00</t>
  </si>
  <si>
    <t>ROYAL ENFIELD/BULLET</t>
  </si>
  <si>
    <t>Mr. PADHARIYA CHHOTALAL BIJALBHAI</t>
  </si>
  <si>
    <t>TO</t>
  </si>
  <si>
    <t>TATA</t>
  </si>
  <si>
    <t>RABARI VAS 3 MORBI, MORBI- 363641, GUJARAT</t>
  </si>
  <si>
    <t>GJ01SE0725</t>
  </si>
  <si>
    <t>12-1806-0008756183-00</t>
  </si>
  <si>
    <t>SUZUKI ACCESS</t>
  </si>
  <si>
    <t>Pathan Kasambhai Abdulbhai</t>
  </si>
  <si>
    <t>Lajai Morbi Mdg Rajkot, , , Mekhadi,, Junagadh,, Gujarat362242</t>
  </si>
  <si>
    <t>GJ36J1619</t>
  </si>
  <si>
    <t>12-1806-0006323772-01</t>
  </si>
  <si>
    <t>Bhavesh Rameshchandra Adthakkar</t>
  </si>
  <si>
    <t>15-10-2032</t>
  </si>
  <si>
    <t>Plot 2 ,4 Opp Street Of Mahesh Hotel, Sanala Road Morvi, , , Morbi,, Rajkot,, Gujarat-363641</t>
  </si>
  <si>
    <t>GJ08Z7752</t>
  </si>
  <si>
    <t>POCMVGC0100643183</t>
  </si>
  <si>
    <t>Tata Motors,LPT 3118</t>
  </si>
  <si>
    <t>Mr.GOSAI MANOJ JITENDRABHAI</t>
  </si>
  <si>
    <t>26-02-2026</t>
  </si>
  <si>
    <t>RAJBAI ,MA MANDIR PASE,CHARADVA SURENDRA NAGAR ,Surendra Nagar,Gujarat363330,India</t>
  </si>
  <si>
    <t>GJ16Z5807</t>
  </si>
  <si>
    <t>POCMVGC0100643165</t>
  </si>
  <si>
    <t>Tata Motors,LPT 2518</t>
  </si>
  <si>
    <t>Mr.PATEL DINESHBHAI RAGHVJIBHAI</t>
  </si>
  <si>
    <t>24-07-2025</t>
  </si>
  <si>
    <t>FLAT NO 503 5 FLOOR PRABHU ,KRUPA -B ,MAHENDRA NAGAR MORBI,Rajkot,Gujarat363642,India</t>
  </si>
  <si>
    <t>GJ03BV8908</t>
  </si>
  <si>
    <t>213049/31/26/010565</t>
  </si>
  <si>
    <t>TATA MOTORS - LPT</t>
  </si>
  <si>
    <t>MR. BHARATBHAI JASHABHAI GAUTAR</t>
  </si>
  <si>
    <t>504 BHARVAD SHERI CHARADVA, TA HALVAD, , MORBI, GUJARAT, , HALVAD , SURENDRA NAGAR, GUJARAT - 363330 ,</t>
  </si>
  <si>
    <t>GJ03AZ5324</t>
  </si>
  <si>
    <t>201340020725700099300000</t>
  </si>
  <si>
    <t>MAHINDRA/BOLER O MAXI TRUCK/ (Fully Built) PICKUP</t>
  </si>
  <si>
    <t>RAUMA HASAMBHAI SUMARBHAI</t>
  </si>
  <si>
    <t>LIBERTY</t>
  </si>
  <si>
    <t>23-01-2026</t>
  </si>
  <si>
    <t>MAHENDRA PARA -15, LATI PLOT MAIN ROAD, MORVI, MORBI MDG, RAJKOT, MORVI, GUJARAT, 363641,,,GUJARAT,MORBI,MORBI-363641</t>
  </si>
  <si>
    <t>GJ06YY3327</t>
  </si>
  <si>
    <t>3379/04584145/000/00</t>
  </si>
  <si>
    <t>SODHA DEEPAK GOVINDBHAI</t>
  </si>
  <si>
    <t>17-03-2026</t>
  </si>
  <si>
    <t>18-05-2026</t>
  </si>
  <si>
    <t>79 ROYAL PUSHPAK PARK SOCIETY OPP KHODIYAR COLONY JAMNGAR,, KHODIYAR COLONY S.O,JAMNAGAR GUJARAT,PIN- 361006</t>
  </si>
  <si>
    <t>GJ03AT4974</t>
  </si>
  <si>
    <t>AVO/2315/20021285</t>
  </si>
  <si>
    <t>TATA MOTORS LIMITED LPT2515</t>
  </si>
  <si>
    <t>Amadbhai Akabarbhai Bhatti</t>
  </si>
  <si>
    <t>13-05-2026</t>
  </si>
  <si>
    <t>VAGADIYA GAITE, OPP. NAGARAPALIKA, -, Maliya, PO:Maliya RAJKOT,GUJARAT363670</t>
  </si>
  <si>
    <t>GJ04AW5528</t>
  </si>
  <si>
    <t>3379/04583494/000/00</t>
  </si>
  <si>
    <t>BHADANIYA HIMANSHU CHUNILAL</t>
  </si>
  <si>
    <t>27-12-2025</t>
  </si>
  <si>
    <t>AYURNAGAR MAIN ROAD BHAVNAGAR ROAD RAJKOT, RAJKOT AJI IND ESTATE S.O,RAJKOT GUJARAT,PIN- 360003</t>
  </si>
  <si>
    <t>GJ03EQ2346</t>
  </si>
  <si>
    <t>D246764271 / 09012026</t>
  </si>
  <si>
    <t>SPLENDOR PLUS/STD</t>
  </si>
  <si>
    <t>PRAKASHBHAI DEVRAJBHAI UBHADIYA</t>
  </si>
  <si>
    <t>BHUNESHWAR PARK PPW SCHOOL SAME RAJKOT,Rajkot-360001</t>
  </si>
  <si>
    <t>GJ03HF0944</t>
  </si>
  <si>
    <t>D246756133 / 09012026</t>
  </si>
  <si>
    <t>DREAM YUGA/BSIII</t>
  </si>
  <si>
    <t>CHHTRASINH AJITSINH RATHOD</t>
  </si>
  <si>
    <t>TO&amp;PUC</t>
  </si>
  <si>
    <t>PANJRAPOL STREET KHAKHARECHI RAJKOT,Rajkot-360001</t>
  </si>
  <si>
    <t>GJ10CJ5510</t>
  </si>
  <si>
    <t>12-1806-0008758102-00</t>
  </si>
  <si>
    <t>HERO MOTOCORP SPLENDOR PLUS</t>
  </si>
  <si>
    <t>Chavda Dulabhai</t>
  </si>
  <si>
    <t>Padana Jogvad Jamnagar, , , Govana,, Jamnagar,, Gujarat-361170</t>
  </si>
  <si>
    <t>GJ32AA8351</t>
  </si>
  <si>
    <t>6205748192 00 00</t>
  </si>
  <si>
    <t>MARUTI / ERTIGA / VXI O CNG</t>
  </si>
  <si>
    <t>Mirza Shahid Abdulraheman</t>
  </si>
  <si>
    <t>24-04-2026</t>
  </si>
  <si>
    <t>GARIB NAVAZ COLONI VERAVAL, PATAN-GUJARAT, 362265</t>
  </si>
  <si>
    <t>GJ14Z3585</t>
  </si>
  <si>
    <t>POCMVGC0100644966</t>
  </si>
  <si>
    <t>A ONE ENGINEERING</t>
  </si>
  <si>
    <t>ZONETO TECHNITEX,8A NATIONAL HIGHWAY RAFLESHWAR RAILWAY STATION ,RAFLESHWAR GIDC MORBI,Rajkot,Gujarat363642,India</t>
  </si>
  <si>
    <t>GJ36AL7153</t>
  </si>
  <si>
    <t>D246993252KK / 10012026</t>
  </si>
  <si>
    <t>TAIGUN/1.5 GT PLUS TSI DSG</t>
  </si>
  <si>
    <t>JAYENDRASINH UDAYSINH JADEJA</t>
  </si>
  <si>
    <t>15-01-2039</t>
  </si>
  <si>
    <t>MOMAI KRUPA 2 KAYAJI PLOT SANALA ROAD MORBI GUJARAT 363641,Morbi-363641</t>
  </si>
  <si>
    <t>GJ03DE7472</t>
  </si>
  <si>
    <t>6106045515 00 00</t>
  </si>
  <si>
    <t>HERO HONDA/SPLENDOR</t>
  </si>
  <si>
    <t xml:space="preserve"> Mr. PILUDIYA FARUK AMADBHAI</t>
  </si>
  <si>
    <t>18/01/2027</t>
  </si>
  <si>
    <t>29-12-2030</t>
  </si>
  <si>
    <t>LOM JIVAN PARK 2 VAVDI ROAD MORVI RAJKOT, MORBI- 363641, GUJARAT</t>
  </si>
  <si>
    <t>GJ36U8265</t>
  </si>
  <si>
    <t>213049/31/26/010626</t>
  </si>
  <si>
    <t>MR. FAKIR GULABSHA HASAMBHAI</t>
  </si>
  <si>
    <t>TO&amp;PERMIT</t>
  </si>
  <si>
    <t>KUMBHARPARA, SHERI NO 1, WANKANER, -, MORBI,GUJARAT - 363621 , WANKANER , RAJKOT, GUJARAT - 363621</t>
  </si>
  <si>
    <t>GJ36W2828</t>
  </si>
  <si>
    <t>213049/31/26/010625</t>
  </si>
  <si>
    <t>MR. BHARVAD RAMESH KUKABHAI</t>
  </si>
  <si>
    <t>18-01-2029</t>
  </si>
  <si>
    <t>LUNSARIYA WANKANER RAJKOT, 363621 , LUNSARIYA , RAJKOT, GUJARAT - 363621 ,</t>
  </si>
  <si>
    <t>GJ36W8685</t>
  </si>
  <si>
    <t>213049/31/26/010624</t>
  </si>
  <si>
    <t>MR. HEMANTBHAI JAGDISHBHAI SOLANKI</t>
  </si>
  <si>
    <t>BHAKTINAGAR SOCIETY, MAHENDRANAGAR PARTGUJARAT-363642MORBH , MAHENDRANAGAR , RAJKOT, GUJARAT - 363642 ,Mo</t>
  </si>
  <si>
    <t>GJ36U9558</t>
  </si>
  <si>
    <t>213049/31/26/010623</t>
  </si>
  <si>
    <t>MR. SARLA SANJAY NANJIBHAI</t>
  </si>
  <si>
    <t>26-05-2026</t>
  </si>
  <si>
    <t>OPP MADHAPR JAPA, MORVI, RAJKOT, GUJARAT - 363641 , MORBI , RAJKOT, GUJARAT - 363641 ,</t>
  </si>
  <si>
    <t>GJ03BW3454</t>
  </si>
  <si>
    <t>213049/31/26/010622</t>
  </si>
  <si>
    <t>MAHINDRA AND MAHINDRA - BOLERO MAXI TRUCK PLUS 1.2T PS</t>
  </si>
  <si>
    <t>MR. IMRAN A AMBALIYA</t>
  </si>
  <si>
    <t>RELVE RESAN FATAK PASE SMRUTI, CHOWK SAME WAKANER, MORBI 9924025507, MORBI-363621 , WANKANER , RAJKOT, GUJARAT - 363621 ,</t>
  </si>
  <si>
    <t>GJ16AP2940</t>
  </si>
  <si>
    <t>12-1805-0008770803-00</t>
  </si>
  <si>
    <t>HYUNDAI SANTRO 1.1</t>
  </si>
  <si>
    <t>Loladiya Arifbhai Mahemudbhai</t>
  </si>
  <si>
    <t>31-03-2026</t>
  </si>
  <si>
    <t>16-07-2026</t>
  </si>
  <si>
    <t>Tikar Road, Shankarpara, Halvad, Surendranagar, , , Halvad,, Surendra Nagar,, Gujarat-363330</t>
  </si>
  <si>
    <t>GJ19M7608</t>
  </si>
  <si>
    <t>12-1805-0008770801-00</t>
  </si>
  <si>
    <t>Oghadbhai Jemalbhai Karotra</t>
  </si>
  <si>
    <t>24-10-2026</t>
  </si>
  <si>
    <t>1735 Shaktima Plot Saktasanala, Morbi, Rajkot, , , Morbi,, Rajkot,, Gujarat-363641</t>
  </si>
  <si>
    <t>GJ21AH7202</t>
  </si>
  <si>
    <t>3371/00552078/000/00</t>
  </si>
  <si>
    <t>SHAILESH R DEVMURARI</t>
  </si>
  <si>
    <t>18-10-2028</t>
  </si>
  <si>
    <t>21-04-2026</t>
  </si>
  <si>
    <t>PANCHASAR ROAD DHARAMNAGAR ,AT WANKANER, RANEKPAR B.O,RAJKOT,GUJARAT, PIN - 363621 Mobile: 9327991809</t>
  </si>
  <si>
    <t>GJ36S0262</t>
  </si>
  <si>
    <t>213049/31/26/010620</t>
  </si>
  <si>
    <t>JCB - 530-70 LOADALL</t>
  </si>
  <si>
    <t>MR. RAMJUBHAI KASAMBHAI CHANIYA</t>
  </si>
  <si>
    <t>13/01/2027</t>
  </si>
  <si>
    <t>14-02-2026</t>
  </si>
  <si>
    <t>29-01-2024</t>
  </si>
  <si>
    <t>AT LUTAVADAR, TA MORBI, MORBI, MORBI, GUJARAT, 363641 , MORBIRAJKOT , RAJKOT, GUJARAT - 363641 ,Mo</t>
  </si>
  <si>
    <t>GJ36W1478</t>
  </si>
  <si>
    <t>0604003125P115858657</t>
  </si>
  <si>
    <t>ATUL AUTO LTD / ATUL SHAKTI 435 CARGO XL (D)</t>
  </si>
  <si>
    <t>MR CHAUHAN SUNIL SURESHBHAI</t>
  </si>
  <si>
    <t>KARIYA SOCIETY NEAR NEW RAILWAY COLONY VAVDI ROAD MORBI</t>
  </si>
  <si>
    <t>GJ36U3339</t>
  </si>
  <si>
    <t>213049/31/26/010619</t>
  </si>
  <si>
    <t>MR. IBRAHIM KHORAJIYA</t>
  </si>
  <si>
    <t>20-06-2023</t>
  </si>
  <si>
    <t>MU RAJAVADLA WANKANER MORBI GJ 363641 , MORBI , RAJKOT, GUJARAT - 363</t>
  </si>
  <si>
    <t>GJ03KC3130</t>
  </si>
  <si>
    <t>AVO/2371/20006049</t>
  </si>
  <si>
    <t>MARUTI SUZUKI EECO 5 STR WITH</t>
  </si>
  <si>
    <t>Saiyad Mahamdhushen Bakarmiya</t>
  </si>
  <si>
    <t>90676 42833</t>
  </si>
  <si>
    <t>19-10-2026</t>
  </si>
  <si>
    <t>amran, Amran, Jamnagar, Gujarat - 363655 RAJKOT,GUJARAT363641</t>
  </si>
  <si>
    <t>GJ36T4351</t>
  </si>
  <si>
    <t>3003/424516887/00/000</t>
  </si>
  <si>
    <t>ISUZU MOTORS LTD PICK-UP VANS</t>
  </si>
  <si>
    <t>LODARIYA BABULAL HARKHABHAI</t>
  </si>
  <si>
    <t>704 VASTU TOWER VILLAGE RAVAPAR, ROYAL PARK SOCIETY, MORBI, GUJARAT 363641</t>
  </si>
  <si>
    <t>GJ03BW3648</t>
  </si>
  <si>
    <t>POCMVGC0100647201</t>
  </si>
  <si>
    <t>MARUTI, SUPER CARRY, CNG</t>
  </si>
  <si>
    <t>Mr.MENDAPARA LALITBHAI MADHAVJIBHAI</t>
  </si>
  <si>
    <t>KULDIVIKRUPA , MORARI NAGAR 1, RAJKOT COLLECTORATE, RAJKOT, RAJKOT, GUJARAT, 360001, INDIA.</t>
  </si>
  <si>
    <t>GJ13CD5598</t>
  </si>
  <si>
    <t>POPMCAR00102273303</t>
  </si>
  <si>
    <t>Maruti Suzuki,Fronx &amp; 1.2 Sigma</t>
  </si>
  <si>
    <t>Mr PATEL DASHARATH CHATURBHAI</t>
  </si>
  <si>
    <t>18-02-2026</t>
  </si>
  <si>
    <t>C 87 1 UMIYA TOWNSHIP SHERI NO 2 NEW 80 FUT ROAD , TA WADHWAN,Surendranagar, Surendra Nagar, Gujarat 363035</t>
  </si>
  <si>
    <t>GJ03BV1272</t>
  </si>
  <si>
    <t>3003/A/424479832/00/B00</t>
  </si>
  <si>
    <t>JADEJA RAMDEVSINH BHAGVATSINH</t>
  </si>
  <si>
    <t>KHOKHARI GHANSHYAMGADH, PADDHARI, RAJKOT, GUJARAT 360110</t>
  </si>
  <si>
    <t>GJ36W2444</t>
  </si>
  <si>
    <t>POCMVGC0100647211</t>
  </si>
  <si>
    <t>BAJAJ AUTO LIMITED, MAXIMA C, CNG</t>
  </si>
  <si>
    <t>Mr.SHEKHANI RAMESH RUGNATHBHAI</t>
  </si>
  <si>
    <t>HARIPAR, MALIYA, RAJKOT COLLECTORATE, RAJKOT, RAJKOT, GUJARAT, 360001, INDIA.</t>
  </si>
  <si>
    <t>GJ38TA2649</t>
  </si>
  <si>
    <t>P0126200007/4103/10477</t>
  </si>
  <si>
    <t>EICHER PRO 2110 H CAB &amp; HSD (SL) BSVI/OPEN</t>
  </si>
  <si>
    <t>Mr VANJA RAJUBHAI SAGARBHAI</t>
  </si>
  <si>
    <t>MAGMA</t>
  </si>
  <si>
    <t>25-12-2026</t>
  </si>
  <si>
    <t>13-02-2029</t>
  </si>
  <si>
    <t>1-85-1, VANZA STREET, BEGVA, BEGVA, AHMEDABAD, GUJARAT - 387810 AHMEDABAD GUJARAT 387810</t>
  </si>
  <si>
    <t>13/1/2026</t>
  </si>
  <si>
    <t>GJ02DA4976</t>
  </si>
  <si>
    <t>AVO/2378/20006775</t>
  </si>
  <si>
    <t>HYUNDAI MOTOR INDIA LTD ACCENT GLE E3</t>
  </si>
  <si>
    <t>Sodha Mustaq Mahebubbhai</t>
  </si>
  <si>
    <t>22-01-2030</t>
  </si>
  <si>
    <t>block no D76, yoginagar, trajpar, morbi2, Morvi, Morbi Ppw, MORBI RAJKOT,GUJARAT363642</t>
  </si>
  <si>
    <t>GJ38AB9774</t>
  </si>
  <si>
    <t>12-1806-0008782030-00</t>
  </si>
  <si>
    <t>BAJAJ PULSAR 150 DTSI</t>
  </si>
  <si>
    <t>Bhatti Husen Habibbhai</t>
  </si>
  <si>
    <t>14-03-2034</t>
  </si>
  <si>
    <t>Jusalasapir Khada Area Maliya Rajkot Miyana, , , Sokhda,, Rajkot,, Gujarat-363670</t>
  </si>
  <si>
    <t>GJ38T2011</t>
  </si>
  <si>
    <t>3379/04586821/000/00</t>
  </si>
  <si>
    <t>BOLERO - MAXI TRUCK BSIV</t>
  </si>
  <si>
    <t>DINESHBHAI ABLABHAI HANDA</t>
  </si>
  <si>
    <t>THEPAPUR ZALOD DAHOD MO,, DANTIA B.O,DAHOD GUJARAT,PIN- 389180</t>
  </si>
  <si>
    <t>GJ36AF6624</t>
  </si>
  <si>
    <t>MARUTI SPRESSO</t>
  </si>
  <si>
    <t>Mr. Hirabhai Bhavanbhai Ughareja</t>
  </si>
  <si>
    <t>14-10-2026</t>
  </si>
  <si>
    <t>GALA RAJKOT Rajkot - 363630,Gujarat</t>
  </si>
  <si>
    <t>GJ36X8389</t>
  </si>
  <si>
    <t>132/02/17/0127/MTP/1010324324</t>
  </si>
  <si>
    <t>TATA MOTORS LTD SIGNA 5530 S 4X2</t>
  </si>
  <si>
    <t>SP ROADLINES</t>
  </si>
  <si>
    <t>14/01/2027</t>
  </si>
  <si>
    <t>GENERALI</t>
  </si>
  <si>
    <t>30-01-2030</t>
  </si>
  <si>
    <t>OFFICE NO 8 SECOND FLOOR, SURVEY NO 45 P PLOT NO 4 P, ROYAL CHAMBER 8-A NATIONAL , RAJKOT, RAJKOT, GUJARAT, INDIA, Pincode : 363642</t>
  </si>
  <si>
    <t>GJ36V8287</t>
  </si>
  <si>
    <t>3379/04586674/000/00</t>
  </si>
  <si>
    <t>MAHINDRA VEERO - 1.4XXL SD V2 CNG</t>
  </si>
  <si>
    <t>HUSEN MAHMADBHAI PATHAN</t>
  </si>
  <si>
    <t>14-01-2027</t>
  </si>
  <si>
    <t>P M AWAS YOJANA AT SAKTSANALA TA MORBI, MORBI,MORBI GUJARAT,PIN- 363641</t>
  </si>
  <si>
    <t>GJ36V3155</t>
  </si>
  <si>
    <t>3379/04586690/000/00</t>
  </si>
  <si>
    <t>BOLERO CAMPER - GOLD ZX 2WD</t>
  </si>
  <si>
    <t>RAMESHBHAI SATABHAI FISADIYA</t>
  </si>
  <si>
    <t>98790 14705</t>
  </si>
  <si>
    <t>16-02-2025</t>
  </si>
  <si>
    <t>22-08-2026</t>
  </si>
  <si>
    <t>8 FISADIYA STREET SARTANPAR , - WANKANER , RAJKOT, GUJARAT, WANKANER S.O,RAJKOT GUJARAT,PIN- 363621</t>
  </si>
  <si>
    <t>GJ10TX0625</t>
  </si>
  <si>
    <t>132/01/17/0127/MTP/1010324188</t>
  </si>
  <si>
    <t>ASHOK LEYLAND DOST PLUS RLS</t>
  </si>
  <si>
    <t>MR VIPULBHAI MOHANBHAI METHANIYA</t>
  </si>
  <si>
    <t>ANGEL</t>
  </si>
  <si>
    <t>AT VASNJALIA TA JAMJODHPUR, JAMNAGAR, JAMNAGAR, GUJARAT, INDIA, Pincode : 360531</t>
  </si>
  <si>
    <t>GJ13AW6819</t>
  </si>
  <si>
    <t>213049/31/26/010645</t>
  </si>
  <si>
    <t>ASHOK LEYLAND - 3718 10*2 HAULAGE 6600 MM BS 4</t>
  </si>
  <si>
    <t>MR. SHABBIRBHAI RASULBHAI MANAKIYA</t>
  </si>
  <si>
    <t>98257 39840</t>
  </si>
  <si>
    <t>21-05-2026</t>
  </si>
  <si>
    <t>15-07-2030</t>
  </si>
  <si>
    <t>GHACHIVAD CHOTILA SURENDRANAGAR CHOTILA, SURENDRANAGAR, GUJARAT, INDIA, 363520 , CHOTILA , SURENDRA NAGAR, GUJARAT - 363520 ,Mob-</t>
  </si>
  <si>
    <t>GJ11TT7573</t>
  </si>
  <si>
    <t>3379/04585490/000/00</t>
  </si>
  <si>
    <t>DOST - RLS BSVI</t>
  </si>
  <si>
    <t>AMRELIYA BASIR OSMANBHAI</t>
  </si>
  <si>
    <t>SANJAY SOCIETY 2 VAVDI ROAD UMIYA PARK MORBI,, MORBI,RAJKOT GUJARAT,PIN- 363641</t>
  </si>
  <si>
    <t>GJ36V6238</t>
  </si>
  <si>
    <t>3379/04586780/000/00</t>
  </si>
  <si>
    <t>BOLERO MAXX PUP - 1.7 HD LX</t>
  </si>
  <si>
    <t>SANJAYBHAI BACHUBHAI PACHIYA</t>
  </si>
  <si>
    <t>19-03-2029</t>
  </si>
  <si>
    <t>AT JUNA JAMBUDIYA TA MORBI GUJARAT,, MORBI PPW S.O,RAJKOT GUJARAT,PIN- 363642</t>
  </si>
  <si>
    <t>14/1/2026</t>
  </si>
  <si>
    <t>GJ25U0099</t>
  </si>
  <si>
    <t>3379/04588262/000/00</t>
  </si>
  <si>
    <t>DIPAK GOVINDBHAI SODHA</t>
  </si>
  <si>
    <t>79 ROYALPUSHP PARK SOCIETY OPP KHODIYAR COLONY JAMNAGAR GUJARAT, 361006 , - - KODIYAR COLONY , JAMNAGAR, GUJARAT,,,, KHODIYAR COLONY S.O,JAMNAGAR GUJARAT,PIN- 361006</t>
  </si>
  <si>
    <t>GJ36T0722</t>
  </si>
  <si>
    <t>3379/04588251/000/00</t>
  </si>
  <si>
    <t>PARMAR DINESH SHANTILAL</t>
  </si>
  <si>
    <t>14-04-2021</t>
  </si>
  <si>
    <t>VAISHAN NI VADI , MADHAPAR VADI NEAR MOTESHWAR MAHADEV TEMPLE VAVDI ROAD BYPAS MORBI RAJKOT,, MORBI S.O,RAJKOT GUJARAT,PIN- 363641</t>
  </si>
  <si>
    <t>GJ36T6600</t>
  </si>
  <si>
    <t>3379/04588250/000/00</t>
  </si>
  <si>
    <t>PUSHPRAJSINH ASHOKSINH JADEJA</t>
  </si>
  <si>
    <t>99790 78037</t>
  </si>
  <si>
    <t>22-12-2026</t>
  </si>
  <si>
    <t>173 ARUNODAY NAGAR NEAR JAIN DERASAR AT MORBI MORBI GUJARAT,,,, MORBI PPW S.O,RAJKOT GUJARAT,PIN- 363642</t>
  </si>
  <si>
    <t>GJ36L8303</t>
  </si>
  <si>
    <t>132/01/11/0127/MTP/1010326258</t>
  </si>
  <si>
    <t>MARUTI SUZUKI VITARA BREZZA VDI</t>
  </si>
  <si>
    <t>PRADIPBHAI GOVINDBHAI VIRSODIY</t>
  </si>
  <si>
    <t>20-01-2034</t>
  </si>
  <si>
    <t>LAXMINAGAR MORVI, GUJARAT, MORBI, SURAT, SURAT, GUJARAT, INDIA, Pincode : 394250</t>
  </si>
  <si>
    <t>GJ36W1965</t>
  </si>
  <si>
    <t>213049/31/26/010706</t>
  </si>
  <si>
    <t>MR. JANJAVADIYA BHARATBHAI BHAGUBHAI</t>
  </si>
  <si>
    <t>16-01-2026</t>
  </si>
  <si>
    <t>17-01-2026</t>
  </si>
  <si>
    <t>DARBARGADH GUNGAN RAJKOT, 363642 , GUNGAN , RAJKOT, GUJARAT - 363642 ,</t>
  </si>
  <si>
    <t>GJ36W1978</t>
  </si>
  <si>
    <t>213049/31/26/010709</t>
  </si>
  <si>
    <t>MR. AMRUTLAL ARJANBHAI RATHOD</t>
  </si>
  <si>
    <t>15-01-2028</t>
  </si>
  <si>
    <t>20-03-2026</t>
  </si>
  <si>
    <t>185 TRIDEV NAGAR OPP VILSON PAPER, MILL LILAPAR RD, , MORBI, GUJARAT, 363641 , MORBIRAJKOT , RAJKOT, GUJARAT - 363641 ,</t>
  </si>
  <si>
    <t>GJ36U9412</t>
  </si>
  <si>
    <t>213049/31/26/010705</t>
  </si>
  <si>
    <t>MR. SIDIKBHAI AMADBHAI MOD</t>
  </si>
  <si>
    <t>13-02-2027</t>
  </si>
  <si>
    <t>BHARAT PARA PANCHASAR ROAD MORBI GUJARAT 363641 , MORBIRAJKOT , RAJKOT, GUJARAT - 363641 ,</t>
  </si>
  <si>
    <t>GJ03EC1020</t>
  </si>
  <si>
    <t>12-1805-0008790416-00</t>
  </si>
  <si>
    <t>HYUNDAI SANTRO XING</t>
  </si>
  <si>
    <t>Mahamad Aadil Riyaz Husen Ghela</t>
  </si>
  <si>
    <t>13-01-2026</t>
  </si>
  <si>
    <t>At Morbi, Kalika Plot Near Narmada, Hall Scientific Road, Morvi,, , , Morbi,, Rajkot,, Gujarat-363641</t>
  </si>
  <si>
    <t>GJ36U8465</t>
  </si>
  <si>
    <t>213049/31/26/010704</t>
  </si>
  <si>
    <t>MR. VIKIYA IRFANBHAI ALARAKHABHAI</t>
  </si>
  <si>
    <t>28-08-2024</t>
  </si>
  <si>
    <t>SARAYA, TANKARA, RAJKOT, GUJARAT, 363650 , TANKARA , RAJKOT, GUJARAT - 36365</t>
  </si>
  <si>
    <t>GJ36W6191</t>
  </si>
  <si>
    <t>213049/31/26/010702</t>
  </si>
  <si>
    <t>MR. BAUDEEN MAHAMAD PADHIYAR</t>
  </si>
  <si>
    <t>ROYAL SCHOOL BAJUMA VISIPARA MDG,MORBI - 363641 , MORBIRAJKOT , RAJKOT, GUJARAT - 363641</t>
  </si>
  <si>
    <t>GJ36V3164</t>
  </si>
  <si>
    <t>3379/04588237/000/00</t>
  </si>
  <si>
    <t>ISUZU</t>
  </si>
  <si>
    <t>MESANIYA CONSTRUCTION COMPANY</t>
  </si>
  <si>
    <t>20-02-2027</t>
  </si>
  <si>
    <t>13-02-2026</t>
  </si>
  <si>
    <t>SINDHAVADAR WANKANER, WANKANER S.O,RAJKOT GUJARAT,PIN- 363621</t>
  </si>
  <si>
    <t>GJ36T3213</t>
  </si>
  <si>
    <t>3379/04588106/000/00</t>
  </si>
  <si>
    <t>MAHESH LADHA BAMBHAVA</t>
  </si>
  <si>
    <t>CHANCHAVADARDA MALIYA RAJKOT, MALIYA MIYANA S.O,RAJKOT GUJARAT,PIN- 363670</t>
  </si>
  <si>
    <t>GJ03BY8431</t>
  </si>
  <si>
    <t>3003/A/424780317/00/B00</t>
  </si>
  <si>
    <t>ASHOK LEYLAND TRUCKS</t>
  </si>
  <si>
    <t>KULDIPSINH UMEDSINH RATHOD</t>
  </si>
  <si>
    <t>22-05-2028</t>
  </si>
  <si>
    <t>85 MAFATIYAPARA RAFALESHWAR JAMBUDIYA MORBI, RAJKOT, GUJARAT 363642</t>
  </si>
  <si>
    <t>GJ13AV8196</t>
  </si>
  <si>
    <t>POCMVGC0100651270</t>
  </si>
  <si>
    <t>Capital Auto Industries,Capital 599 &amp; Open Cargo Box</t>
  </si>
  <si>
    <t>Mr.VAZHA DHANABHAI RAJUBHAI</t>
  </si>
  <si>
    <t>94262 36304</t>
  </si>
  <si>
    <t>94288 36694</t>
  </si>
  <si>
    <t>MT</t>
  </si>
  <si>
    <t>ADARIYANA,SURENDRANAGAR,GUJARAT,Surendr a Nagar,Gujarat382780,India</t>
  </si>
  <si>
    <t>GJ36V6476</t>
  </si>
  <si>
    <t>3003/424751251/00/000</t>
  </si>
  <si>
    <t>BOLERO MAXX PUP HD 1.7L LX</t>
  </si>
  <si>
    <t>PULS ELECTRIC &amp; ELECTRONIC</t>
  </si>
  <si>
    <t>17-04-2026</t>
  </si>
  <si>
    <t>21-03-2029</t>
  </si>
  <si>
    <t>OPP SANTRO CIRAMIC GROUND FLOOR SHOP NO 6, AT MAKANSAR TA MORBI, MORBI, MORBI, GUJARAT 363641</t>
  </si>
  <si>
    <t>GJ27T8292</t>
  </si>
  <si>
    <t>6303737952 00 00</t>
  </si>
  <si>
    <t>EICHER MOTORS/11.1 0/G/OPEN/TRUCK</t>
  </si>
  <si>
    <t>Mr zala aashishkumar rajendrasinh</t>
  </si>
  <si>
    <t>FQ</t>
  </si>
  <si>
    <t>16-05-2026</t>
  </si>
  <si>
    <t>16-07-2030</t>
  </si>
  <si>
    <t>881 indiranagar part 2 l ambha 6 daskroi, ahma dabad city gujarat, 382 415, AHMEDABAD, GUJ ARAT, INDIA</t>
  </si>
  <si>
    <t>GJ36V8285</t>
  </si>
  <si>
    <t>3379/04587487/000/00</t>
  </si>
  <si>
    <t>JANAK CHATROTIYA</t>
  </si>
  <si>
    <t>15-01-2027</t>
  </si>
  <si>
    <t>PALANS LUNSAR TA MORBI MORBI GUJARAT, WANKANER S.O,RAJKOT GUJARAT,PIN- 363621</t>
  </si>
  <si>
    <t>15/1/2026</t>
  </si>
  <si>
    <t>GJ03T3938</t>
  </si>
  <si>
    <t>3003/A/424906041/00/B00</t>
  </si>
  <si>
    <t>KHAMBHALA MAHENDRA RAJESHBAI</t>
  </si>
  <si>
    <t>92650 28275</t>
  </si>
  <si>
    <t>23-01-2029</t>
  </si>
  <si>
    <t>S/O RAJESHBHAI, SHERI NO 4, AROGYA NAGAR, SWANKANER, AMARSAR, RAJKOT, GUJARAT - 363621, RAJKOT, GUJARAT 363621</t>
  </si>
  <si>
    <t>GJ01BT8257</t>
  </si>
  <si>
    <t>VGT0596547000100</t>
  </si>
  <si>
    <t>Ashok Leyland Ltd. AL 1612</t>
  </si>
  <si>
    <t>Mr.TOLIYA MUNABHAI</t>
  </si>
  <si>
    <t>84014 93815</t>
  </si>
  <si>
    <t>18-01-2026</t>
  </si>
  <si>
    <t>AT PANCHASAR TAL WANKANER AHMEDABAD,GUJARAT 363621</t>
  </si>
  <si>
    <t>GJ10TW4443</t>
  </si>
  <si>
    <t>POCMVGC0100652365</t>
  </si>
  <si>
    <t>BAJAJ AUTO LIMITED, MAXIMA C, DIESEL</t>
  </si>
  <si>
    <t>Mr.MUNGHAVA MUNABHAI SANABHAI</t>
  </si>
  <si>
    <t>CF&amp;N.PLATE</t>
  </si>
  <si>
    <t>3 z 2 laxminagar society , So oradi, RAFALESHWAR, RAJKOT, RAJKOT, GUJARAT, 363642, INDIA.</t>
  </si>
  <si>
    <t>GJ36T8291</t>
  </si>
  <si>
    <t>3379/04589168/000/00</t>
  </si>
  <si>
    <t>MAKVANA BILALBHAI DAUDBHAI</t>
  </si>
  <si>
    <t>97277 21217</t>
  </si>
  <si>
    <t>GHANCHI STREET NO 7 NEAR OLD BUS STAND MAHENDRA PARA ROAD MORBI GUJARAT,, MORBI,RAJKOT GUJARAT,PIN- 363641</t>
  </si>
  <si>
    <t>GJ36T4600</t>
  </si>
  <si>
    <t>Ashok Leyland,3118</t>
  </si>
  <si>
    <t>Mr.JADEJA CHANDRASINHPRABHATSING</t>
  </si>
  <si>
    <t>16/12/2026</t>
  </si>
  <si>
    <t>13-12-2028</t>
  </si>
  <si>
    <t>PLOT NO 20 NR CIRCUIT HOUSE,ASHA PARK,AT MORBI TAL AND DIST MORBI,RajkotRajkot,Gujarat363642,India</t>
  </si>
  <si>
    <t>16/1/2026</t>
  </si>
  <si>
    <t>GJ36T2034</t>
  </si>
  <si>
    <t>3379/04589944/000/00</t>
  </si>
  <si>
    <t>BOLERO - MAXI TRUCK 2WD</t>
  </si>
  <si>
    <t>BABABHAI BHIKHABHAI SINDHAV</t>
  </si>
  <si>
    <t>MAMA SAHEB BEHIND KAMDHENU PARTY PLOT MACHUNAGAR MORBI,, MORBI,MORBI GUJARAT,PIN- 363641</t>
  </si>
  <si>
    <t>GJ36W1520</t>
  </si>
  <si>
    <t>213049/31/26/010759</t>
  </si>
  <si>
    <t>MR. DILIPBHAI JASHAMATBHAI SASANIYA</t>
  </si>
  <si>
    <t>16/01/2027</t>
  </si>
  <si>
    <t>29-01-2029</t>
  </si>
  <si>
    <t>LALPAR , MORBI , RAJKOT , GUJARAT , MORBIRAJKOT , RAJKOT, GUJARAT - 3636</t>
  </si>
  <si>
    <t>GJ36U2481</t>
  </si>
  <si>
    <t>213049/31/26/010758</t>
  </si>
  <si>
    <t>MR. RAMGIYA TARUN CHANDULAL</t>
  </si>
  <si>
    <t>28-05-2026</t>
  </si>
  <si>
    <t>243, SARPANCH SHERI, MANEKVADA, MORBI-GUJARAT-363641 , MORBI , RAJKOT, GUJARAT - 363641 ,Mo</t>
  </si>
  <si>
    <t>GJ36V8452</t>
  </si>
  <si>
    <t>3003/425089321/00/000</t>
  </si>
  <si>
    <t>BOLERO MAXX PUP HD 2.0 LX</t>
  </si>
  <si>
    <t>VIPUL MALABHAI BHARAVAD</t>
  </si>
  <si>
    <t>19-01-2027</t>
  </si>
  <si>
    <t>19-01-2026</t>
  </si>
  <si>
    <t>AT DHAVANA, TA HALVAD, SURENDRANAGAR, GUJARAT 363330</t>
  </si>
  <si>
    <t>GJ23AT0324</t>
  </si>
  <si>
    <t>6303743774 00 00</t>
  </si>
  <si>
    <t>EICHER MOTORS/11.1 0/DIESEL/OPEN/TRUCK</t>
  </si>
  <si>
    <t>Mr AMARA BAMBHAVA</t>
  </si>
  <si>
    <t>28-04-2026</t>
  </si>
  <si>
    <t>OPP VIVEKANAND SOCI ETY, RAJKOT ROAD WA NKANER, MORBI, 3880 01, ANAND, GUJARAT, I NDIA</t>
  </si>
  <si>
    <t>GJ36L8197</t>
  </si>
  <si>
    <t>POPMCAR00102287362</t>
  </si>
  <si>
    <t>Maruti Suzuki,Alto &amp; Lxi CNG</t>
  </si>
  <si>
    <t>Mr SHERASIYA ASHARAF USMANBHAI</t>
  </si>
  <si>
    <t>76005 23013</t>
  </si>
  <si>
    <t>24-10-2034</t>
  </si>
  <si>
    <t>20-10-2026</t>
  </si>
  <si>
    <t>AT ARNI TIMBA TA WAKENER , MORBI ,MORBI, Rajkot, Gujarat 363621</t>
  </si>
  <si>
    <t>GJ38TA5102</t>
  </si>
  <si>
    <t>213049/31/26/010757</t>
  </si>
  <si>
    <t>EICHER - PRO 2059 XP D HSD 12FT NGB PRM BS6</t>
  </si>
  <si>
    <t>MR. VANJA RAJUBHAI SAGARBHAI</t>
  </si>
  <si>
    <t>20-04-2030</t>
  </si>
  <si>
    <t>1-85-1. VANZA STREET. BEGVA. AHMEDABAD-GUJARAT-387810 , AHMEDABAD , AHMEDABAD, GUJARAT - 3878</t>
  </si>
  <si>
    <t>GJ36V6365</t>
  </si>
  <si>
    <t>2315 2081 0039 0500 000</t>
  </si>
  <si>
    <t>M/S S.B.R. TRANSPORT</t>
  </si>
  <si>
    <t>30/1/2027</t>
  </si>
  <si>
    <t>25-02-2026</t>
  </si>
  <si>
    <t>RANI SINGH CHANDRABHAN SINGH JAYGANESH NAGAR TIMBDI TALUKA MORBI MORBI GUJARAT 363641 MORBI MORBI PINCODE - 363641 RAJKOT RAJKOT GUJARAT 363641</t>
  </si>
  <si>
    <t>GJ36V2046</t>
  </si>
  <si>
    <t>2315 2081 0038 8700 000</t>
  </si>
  <si>
    <t>INTRA - V10</t>
  </si>
  <si>
    <t>MR BUKHARI ABDULRSUL ASARFMIYA</t>
  </si>
  <si>
    <t>18-10-2024</t>
  </si>
  <si>
    <t>18-10-2023</t>
  </si>
  <si>
    <t>AMRAN VTC AMRAN PO AMRAN SUB DISTRICT JODIYA DISTRICT JAMNAGAR STATE GUJARAT PIN CODE JAMNAGAR JAMNAGAR GUJARAT 363655</t>
  </si>
  <si>
    <t>GJ36V1833</t>
  </si>
  <si>
    <t>AVO/2315/20027795</t>
  </si>
  <si>
    <t xml:space="preserve"> BHARATBENZ 5528TT 6X4 BSVI</t>
  </si>
  <si>
    <t>Ramkishan</t>
  </si>
  <si>
    <t>24-01-2027</t>
  </si>
  <si>
    <t>TIRUPATI HOUSE 8 NATIONAL HIGHWAY AT BHAYATI JAMBUDIYA TA WAKANER MORBI,GUJARAT363621</t>
  </si>
  <si>
    <t>GJ03EC6383</t>
  </si>
  <si>
    <t>12-1805-0008804842-00</t>
  </si>
  <si>
    <t>Juneja Salimbhai Ibrahim Bhai</t>
  </si>
  <si>
    <t>27-03-2026</t>
  </si>
  <si>
    <t>Vankiyarajkot, , , Wankaner,, Rajkot,, Gujarat-363621</t>
  </si>
  <si>
    <t>GJ36V3402</t>
  </si>
  <si>
    <t>3379/04589902/000/00</t>
  </si>
  <si>
    <t>16-02-2027</t>
  </si>
  <si>
    <t>WANKANER MORBI,WANKANER,, WANKANER S.O,RAJKOT GUJARAT,PIN- 363621</t>
  </si>
  <si>
    <t>GJ36V3372</t>
  </si>
  <si>
    <t>213049/31/26/010751</t>
  </si>
  <si>
    <t>ASHOK LEYLAND - UJ 3525 T 8*4 TIPPER 5250MM WB BS 6</t>
  </si>
  <si>
    <t>MARUTI MICRONS</t>
  </si>
  <si>
    <t>20-03-2028</t>
  </si>
  <si>
    <t>SURVEY NO.72-76, BHIM GUDA MARG, ,RATAVIRDA, MORBIRAJKOTGUJARAT 363621 , RAJKOT , RAJKOT, GUJARAT - 363621</t>
  </si>
  <si>
    <t>GJ10TX9668</t>
  </si>
  <si>
    <t>2315 2080 9607 3100 000</t>
  </si>
  <si>
    <t>MR UKABHAI DEVABHAI PANCHIYA</t>
  </si>
  <si>
    <t>19-11-2027</t>
  </si>
  <si>
    <t>28-01-2026</t>
  </si>
  <si>
    <t>KHIRSARA MOTA DAHISARA DAHISARA RAJKOT GUJARAT RAJKOT RAJKOT GUJARAT 363660</t>
  </si>
  <si>
    <t>GJ36C7181</t>
  </si>
  <si>
    <t>12-1806-0006491123-01</t>
  </si>
  <si>
    <t>BAJAJ DISCOVER 125</t>
  </si>
  <si>
    <t>Riyajhusen Ismailbhai Ghela</t>
  </si>
  <si>
    <t>29/01/2027</t>
  </si>
  <si>
    <t>27-03-2031</t>
  </si>
  <si>
    <t>At Morbi, Near Vajepar 15, Near Narmada Hall, Scientific Vadi Road, , , Morbi,, Rajkot,, Gujarat-363641</t>
  </si>
  <si>
    <t>GJ36D8184</t>
  </si>
  <si>
    <t>12-1806-0008803916-00</t>
  </si>
  <si>
    <t>HONDA  CB SHINE</t>
  </si>
  <si>
    <t>Mundhva Mehulbhai Navghanbhai</t>
  </si>
  <si>
    <t>23-11-2031</t>
  </si>
  <si>
    <t>29-12-2021</t>
  </si>
  <si>
    <t>Charadva Morbi, , , Charadva,, Surendra Nagar,, Gujarat363330</t>
  </si>
  <si>
    <t>GJ14Z9704</t>
  </si>
  <si>
    <t>213049/31/26/010720</t>
  </si>
  <si>
    <t>TATA MOTORS - SFC 407 EX / 31 WB BS 3 REFRESH</t>
  </si>
  <si>
    <t>MR. MAHENDRA JERAMBHAI MALANI</t>
  </si>
  <si>
    <t>JAMNA PARK STREET NO 1, MORBI MARBAL STREET, MORBI ROAD, RAJKOT-GUJARAT-360003 , RAJKOT BEDIPARA , RAJKOT, GUJARAT - 360003</t>
  </si>
  <si>
    <t>GJ36U7962</t>
  </si>
  <si>
    <t>POCMVGC0100655190</t>
  </si>
  <si>
    <t>Mr.GAMARA RAJESH HINDUBHAI</t>
  </si>
  <si>
    <t>Lakhimagar ,Morbi mdg,Morbi ,Rajkot,Gujarat363641,India</t>
  </si>
  <si>
    <t>17/1/2026</t>
  </si>
  <si>
    <t>GJ36W7234</t>
  </si>
  <si>
    <t>213049/31/26/010795</t>
  </si>
  <si>
    <t>MR. MUSTUFA SIDIKBHAI SUMRA</t>
  </si>
  <si>
    <t>19-01-2028</t>
  </si>
  <si>
    <t>BETWEEN KALIKA PLOT STREET NO 4/5 NEAR KHUSHBUSCHOOL,MDG,MORBI, , .-MORBI , RAJKOT, GUJARAT - 363641</t>
  </si>
  <si>
    <t>GJ03AV8230</t>
  </si>
  <si>
    <t>3003/425225357/00/000</t>
  </si>
  <si>
    <t>BOLERO MAXI TRUCK</t>
  </si>
  <si>
    <t>SHAKTIBHAI LAKHMANBHAI DANTESARIA</t>
  </si>
  <si>
    <t>21-02-2026</t>
  </si>
  <si>
    <t>TITHAVA, TITHVA, RAJKOT, WANKANER, GUJARAT, 363621, RAJKOT, GUJARAT 363621</t>
  </si>
  <si>
    <t>GJ03W9434</t>
  </si>
  <si>
    <t>3003/A/425225317/00/B00</t>
  </si>
  <si>
    <t>EICHER MOTOR TRUCKS</t>
  </si>
  <si>
    <t>TOTA PETHA GELABHAI</t>
  </si>
  <si>
    <t>28-01-2022</t>
  </si>
  <si>
    <t>AT PANCHASAR POST VAGHASIYA WANKANER MORBI,, RAJKOT, GUJARAT 363621</t>
  </si>
  <si>
    <t>GJ03EL9433</t>
  </si>
  <si>
    <t>12-1805-0008814618-00</t>
  </si>
  <si>
    <t>Nakum Baldev Karshanbha</t>
  </si>
  <si>
    <t>26-01-2026</t>
  </si>
  <si>
    <t>Shiyali Vadi, Near Kapila Hanuman, Bypass Highway, Morbi, , , Morbi,, Rajkot,, Gujarat-363641</t>
  </si>
  <si>
    <t>GJ36U7690</t>
  </si>
  <si>
    <t>213049/31/26/010794</t>
  </si>
  <si>
    <t>MR. DINESH KARABHAI UGHAREJA</t>
  </si>
  <si>
    <t>24-01-2024</t>
  </si>
  <si>
    <t>24-01-2023</t>
  </si>
  <si>
    <t>27-01-2027</t>
  </si>
  <si>
    <t>UGAMNA NAKA KOLIVAS TANKARA MORBI GUJARAT, 363650 , - - TANKARAMORBI , MORBI, GUJARAT - 363650</t>
  </si>
  <si>
    <t>GJ36W2024</t>
  </si>
  <si>
    <t>0604003125P116180900</t>
  </si>
  <si>
    <t>MR JANJAVADIYA RAMJI AMARSHIBHAI</t>
  </si>
  <si>
    <t>26-11-2026</t>
  </si>
  <si>
    <t>JODHPAR NADI RAJKOT GUJARAT</t>
  </si>
  <si>
    <t>GJ03AT4549</t>
  </si>
  <si>
    <t>3003/A/425224616/00/B00</t>
  </si>
  <si>
    <t>TATA MOTORS TRUCKS</t>
  </si>
  <si>
    <t>HIREN RANCHHODBHAI</t>
  </si>
  <si>
    <t>19-11-2030</t>
  </si>
  <si>
    <t>97,98,109, SAT HANUMAN SOCIETY,OPP MANHAR TILES, LILAPARA ROAD,MORBI-1, MORBI, GUJARAT 363641</t>
  </si>
  <si>
    <t>GJ03Y9522</t>
  </si>
  <si>
    <t>3003/A/425224577/00/000</t>
  </si>
  <si>
    <t>BUKHARI FIROJMIYA SULTANMIYA</t>
  </si>
  <si>
    <t>28-10-2029</t>
  </si>
  <si>
    <t>AMRAN JAMNAGAR JODIYA, JAMNAGAR, GUJARAT 363655</t>
  </si>
  <si>
    <t>GJ03BY6250</t>
  </si>
  <si>
    <t>132/02/17/0127/MTP/1010329592</t>
  </si>
  <si>
    <t>EICHER MOTORS PRO 2050 HSD 12FT</t>
  </si>
  <si>
    <t>MR JENTIBHAI GANGDEVBHAI GHODAKIYA</t>
  </si>
  <si>
    <t>24-01-2028</t>
  </si>
  <si>
    <t>AT RAJAVADLA JAM BHADLA TAL, JASDAN, DI RAJKOT, RAJKOT, RAJKOT, GUJARAT, INDIA, Pincode : 360050</t>
  </si>
  <si>
    <t>GJ03BY6427</t>
  </si>
  <si>
    <t>3003/425211576/00/000</t>
  </si>
  <si>
    <t>GHODAKIYA JENTIBHAI</t>
  </si>
  <si>
    <t>21-11-2025</t>
  </si>
  <si>
    <t>RAJA VADLA JAM BHADALA RAJKOT JASDAN, RAJKOT, GUJARAT 360050</t>
  </si>
  <si>
    <t>GJ03AT1657</t>
  </si>
  <si>
    <t>12-1831-0006416440-01</t>
  </si>
  <si>
    <t>Solanki Vikram</t>
  </si>
  <si>
    <t>25-12-2027</t>
  </si>
  <si>
    <t>Paddhari, , ,, Jamnagar,, Gujarat-360110</t>
  </si>
  <si>
    <t>18/1/2026</t>
  </si>
  <si>
    <t>GJ07DC7881</t>
  </si>
  <si>
    <t>POCMVMI0100385837</t>
  </si>
  <si>
    <t>Mahindra &amp; Mahindra 275 DI &amp; TU MKM DLX</t>
  </si>
  <si>
    <t>Mr. JAGDISHBHAI RAVJIBHAI CHAUHAN</t>
  </si>
  <si>
    <t>17-06-2035</t>
  </si>
  <si>
    <t>Pipaliya, Raj, Morbi, , Rajkot, , Gujarat, 363621 India.</t>
  </si>
  <si>
    <t>GJ36F4878</t>
  </si>
  <si>
    <t>Mr. Kalpeshkumar Narayanbhai Kanzariya</t>
  </si>
  <si>
    <t>27/01/2027</t>
  </si>
  <si>
    <t>30-12-2026</t>
  </si>
  <si>
    <t>353 DALWADI WAD, AT DHANALA TA HALVAD DIST MORBI SURENDRA NAGAR - 363330,Gujarat</t>
  </si>
  <si>
    <t>GJ03AT1469</t>
  </si>
  <si>
    <t>3003/A/425290274/00/B00</t>
  </si>
  <si>
    <t>THEBA FIROZBHAI GULMAMADBHAI</t>
  </si>
  <si>
    <t>MAFATIYA PARA BESIDE KOHINOOR CLOCK KALIKA PLOT MORBI, MORBI, GUJARAT 363641</t>
  </si>
  <si>
    <t>GJ36V7234</t>
  </si>
  <si>
    <t>VGC1477712000100</t>
  </si>
  <si>
    <t>Tata Motors Ltd.</t>
  </si>
  <si>
    <t>Mr.SUMRA MUSTUFA SIDIKBHAI</t>
  </si>
  <si>
    <t>22-01-2027</t>
  </si>
  <si>
    <t>PLOT STREET NO 4/5,NEAR KHUSBH SCHOOL,MORVI MORBI,RAJKOT, MORBI GUJARAT 363641</t>
  </si>
  <si>
    <t>GJ12AW0919</t>
  </si>
  <si>
    <t>3003/A/425290199/00/000</t>
  </si>
  <si>
    <t>RATHOD KULDIPSINH UMEDSINH</t>
  </si>
  <si>
    <t>18-05-2028</t>
  </si>
  <si>
    <t>MAFATIYA PARA RAFALESHVAR JAMBUDIYA MORTI JAMNUDIYA, MORBI, GUJARAT 363641</t>
  </si>
  <si>
    <t>GJ14W1060</t>
  </si>
  <si>
    <t>3003/A/425290116/00/B00</t>
  </si>
  <si>
    <t>EICHER MOTOR EICHER.11.10</t>
  </si>
  <si>
    <t>MALEK FIROJKHAN KESARKHAN</t>
  </si>
  <si>
    <t>24-03-2026</t>
  </si>
  <si>
    <t>VRUNDAVAN PARK, HALVAD ROAD, DHRANGADHRA, DHRANGADHRA, SURENDRA NAGAR, GUJARAT, 363310, SURENDRANAGAR, GUJARAT 363310</t>
  </si>
  <si>
    <t>GJ36F3643</t>
  </si>
  <si>
    <t>3362/04241576/000/00</t>
  </si>
  <si>
    <t xml:space="preserve">HYUNDAI GRAND I10 </t>
  </si>
  <si>
    <t>PRASHANTKUMAR RAMNIKLAL SANTOKI</t>
  </si>
  <si>
    <t>13-12-2032</t>
  </si>
  <si>
    <t>30-01-2026</t>
  </si>
  <si>
    <t>AT CHUMPANI HALVAD DIST MORBI, DHAVANA B.O,SURENDRA NAGAR,GUJARAT, PIN - 363330</t>
  </si>
  <si>
    <t>GJ36W8173</t>
  </si>
  <si>
    <t>213049/31/26/010823</t>
  </si>
  <si>
    <t>MR. MUKESHBHAI MAIYABHAI BAMBHAVA</t>
  </si>
  <si>
    <t>ANDARNA, MORBI, , MORBI, GUJARAT, 363641 , MORBIRAJKOT , RAJKOT, GUJARAT - 36364</t>
  </si>
  <si>
    <t>GJ10TZ2045</t>
  </si>
  <si>
    <t>213049/31/26/010822</t>
  </si>
  <si>
    <t>MR. SUBHAN ISMAIL CHAVDA</t>
  </si>
  <si>
    <t>28-01-2029</t>
  </si>
  <si>
    <t>BHIM VAS 3 JUNA RAILWAY STATION, PASE JAMNAGARJAMNAGAR, JAMNAGAR-GUJARAT-361001 , JAMNAGAR , JAMNAGAR, GUJARAT - 36100</t>
  </si>
  <si>
    <t>GJ36U5397</t>
  </si>
  <si>
    <t>213049/31/26/010821</t>
  </si>
  <si>
    <t>BAJAJ AUTO - RE COMPACT CNG 4S</t>
  </si>
  <si>
    <t>MR. AJAY DAMJIBHAI VEKARIYA</t>
  </si>
  <si>
    <t>24-11-2025</t>
  </si>
  <si>
    <t>RAMDEV NAGAR NR RAMDEV PIR TEMPLE BH SO ORDI MORVI RAJKOT , - MORBI PPWRAJKOT , RAJKOT, GUJARAT - 363642</t>
  </si>
  <si>
    <t>GJ36U9494</t>
  </si>
  <si>
    <t>213049/31/26/010820</t>
  </si>
  <si>
    <t>MR. KHODIDAS BALUBHAI ADGAMA</t>
  </si>
  <si>
    <t>16-12-2024</t>
  </si>
  <si>
    <t>GHUNTU, TA MORBI,, MORBI-GUJARAT-363641 , MORBI , RAJKOT, GUJARAT - 363641</t>
  </si>
  <si>
    <t>GJ36AF3758</t>
  </si>
  <si>
    <t>AVO/2371/20009429</t>
  </si>
  <si>
    <t>MARUTI SUZUKI INDIA LTD EECO 5 STR AC (O</t>
  </si>
  <si>
    <t>Sarvaiya Bhupat Dhirubhai</t>
  </si>
  <si>
    <t>Koli Ni Vadi, Near Rokadiya Hanuman Temple, Navlakhi Road, MORBI,GUJARAT363641</t>
  </si>
  <si>
    <t>GJ36H7873</t>
  </si>
  <si>
    <t>D248112458 / 17012026</t>
  </si>
  <si>
    <t>SALUTO/RX</t>
  </si>
  <si>
    <t>PALEJA RAHIMBHAI SULTANBHAI</t>
  </si>
  <si>
    <t>PARSURAM NAGAR STREET 10 SO ORDI MORVI PPW RAJKOT,Morbi-363623</t>
  </si>
  <si>
    <t>GJ03JL6849</t>
  </si>
  <si>
    <t>132/01/11/0127/MTP/1010331203</t>
  </si>
  <si>
    <t>FORD FIGO 1.5 TI VCT P TITANIUM AT</t>
  </si>
  <si>
    <t>MR RAMESH JESHINGBHAI KHAMBHALIYA</t>
  </si>
  <si>
    <t>14-12-2031</t>
  </si>
  <si>
    <t>29-02-2024</t>
  </si>
  <si>
    <t>RAMDHAM SOCIETY OPP, RAMJI MANDIR, RATANPAR, RAJKOT, RAJKOT, GUJARAT, INDIA, Pincode : 360001</t>
  </si>
  <si>
    <t>GJ36V5713</t>
  </si>
  <si>
    <t>213049/31/26/010805</t>
  </si>
  <si>
    <t>MARUTI SUZUKI - DZIRE TOUR S STD CNG</t>
  </si>
  <si>
    <t>MR. KANJI MULUBHAI DANGAR</t>
  </si>
  <si>
    <t>RANCHHOD NAGAR 1 SHERI 3 , NAVLAKHI ROAD MORBI,, MORBI -363641 , MORBIRAJKOT , RAJKOT, GUJARAT - 3636</t>
  </si>
  <si>
    <t>GJ13AW4503</t>
  </si>
  <si>
    <t>3003/A/425258505/00/B00</t>
  </si>
  <si>
    <t>ASHOK LEYLAND TRAILERS</t>
  </si>
  <si>
    <t>PARAMAR JAVIDBHAI RAJAKBHAI</t>
  </si>
  <si>
    <t xml:space="preserve"> 99783 97133</t>
  </si>
  <si>
    <t>20-09-2029</t>
  </si>
  <si>
    <t>GHACHIVAD, CHOTILA, SURENDRA NAGAR, CHOTILA, GUJARAT, 363520 3 2 1800 180, SURENDRANAGAR, GUJARAT 363520</t>
  </si>
  <si>
    <t>GJ03BW8104</t>
  </si>
  <si>
    <t>3379/04592450/000/00</t>
  </si>
  <si>
    <t>CHOTHABHAI VIRJIBHAI PARAJIYA</t>
  </si>
  <si>
    <t>16-06-2026</t>
  </si>
  <si>
    <t>AT JALI SARDHARKA TA WANKANER MORBI GUJARAT,,,, WANKANER S.O,RAJKOT GUJARAT,PIN- 363621</t>
  </si>
  <si>
    <t>19/1/2026</t>
  </si>
  <si>
    <t>GJ36V6126</t>
  </si>
  <si>
    <t>213049/31/26/010829</t>
  </si>
  <si>
    <t>MARUTI SUZUKI - SUPER CARRY</t>
  </si>
  <si>
    <t>MR. BHAGVANBHAI KARAMSHIBHAI VIDJA</t>
  </si>
  <si>
    <t>BAHUCHAR CHOK STREET KHAKHRECHI, AT OLD GHANTILA TAMALIYA MORBI,, MORBIGUJARAT-363670 , MALIYA MIYANA , RAJKOT, GUJARAT - 36367</t>
  </si>
  <si>
    <t>GJ36V1097</t>
  </si>
  <si>
    <t>213049/31/26/010828</t>
  </si>
  <si>
    <t>MARUTI SUZUKI - DZIRE VX</t>
  </si>
  <si>
    <t>MR. PARAKRAMSINH NATUBHA JADEJA</t>
  </si>
  <si>
    <t>20-05-2026</t>
  </si>
  <si>
    <t>DARBAR STREET AT MOTA DAHISARA TA MALIYA DIS MORBI MORBI GUJARAT 363660 , DAHISARARAJKOT , RAJKOT, GUJARAT - 3636</t>
  </si>
  <si>
    <t>GJ12AT5221</t>
  </si>
  <si>
    <t>3379/04592643/000/00</t>
  </si>
  <si>
    <t>SUMRA TOFIK HANIFBHAI</t>
  </si>
  <si>
    <t>25-03-2026</t>
  </si>
  <si>
    <t>19-09-2027</t>
  </si>
  <si>
    <t>STREET NO 5 MORVI, RAJKOT, RAJKOT, GUJARAT,,, MORBI S.O,RAJKOT GUJARAT,PIN- 363641</t>
  </si>
  <si>
    <t>GJ03BW6226</t>
  </si>
  <si>
    <t>P0026200007/4103/106272</t>
  </si>
  <si>
    <t>EICHER PRO 2095 XP F FSD BS VI/INSULTED VAN</t>
  </si>
  <si>
    <t>Mr JINDANI KARIM IBRAHIMBHAI</t>
  </si>
  <si>
    <t>99256 44747</t>
  </si>
  <si>
    <t>3/2132, SIPAI VAS, NEAR MATAM CHOWK, MORVI, P: MORBI MG, DIST: RAJKOT, GUJARAT 363641 RAJKOT GUJARAT 363641</t>
  </si>
  <si>
    <t>20/1/2026</t>
  </si>
  <si>
    <t>GJ10W5571</t>
  </si>
  <si>
    <t>3003/A/425438307/00/000</t>
  </si>
  <si>
    <t>ISHABHAI MUSHABHAI THEBA</t>
  </si>
  <si>
    <t>19/1/2027</t>
  </si>
  <si>
    <t>21-03-2026</t>
  </si>
  <si>
    <t>23-01-2028</t>
  </si>
  <si>
    <t>KALIKA PLOT MAFATIYA PARU ST 4 MORBI, MORBI, GUJARAT 363641</t>
  </si>
  <si>
    <t>GJ36V8719</t>
  </si>
  <si>
    <t>VGC1478662000100</t>
  </si>
  <si>
    <t>Tata Motors Ltd. LPT 1512 BSVI</t>
  </si>
  <si>
    <t>Mr.JUNED VALIMAMADBHAI BABHNIA</t>
  </si>
  <si>
    <t>21/01/2027</t>
  </si>
  <si>
    <t>31-03-2027</t>
  </si>
  <si>
    <t>13-02-2028</t>
  </si>
  <si>
    <t>PANCHASAR MAIN ROAD MORBI RAJKOT MORBI GUJARAT 363641</t>
  </si>
  <si>
    <t>GJ36T9367</t>
  </si>
  <si>
    <t>3379/04594390/000/00</t>
  </si>
  <si>
    <t>BADA DOST - I4 LS FSD BSVI</t>
  </si>
  <si>
    <t>VADAVIYA IRFAN MAHAMADBHAI</t>
  </si>
  <si>
    <t>25/01/2027</t>
  </si>
  <si>
    <t>29-04-2026</t>
  </si>
  <si>
    <t>JAMAIPARA RAJAVADLA RAJKOT,, WANKANER S.O,RAJKOT GUJARAT,PIN- 363621</t>
  </si>
  <si>
    <t>GJ36W6171</t>
  </si>
  <si>
    <t>213049/31/26/010851</t>
  </si>
  <si>
    <t>PIAGGIO - APE CITY PLUS METRO OBD2A BS6</t>
  </si>
  <si>
    <t>MR. MANOJ MOHANBHAI SOLANKI</t>
  </si>
  <si>
    <t>18-12-2026</t>
  </si>
  <si>
    <t>AT MITANA,TAL TANKARA,,363650 , MITANA , RAJKOT, GUJARAT - 363650</t>
  </si>
  <si>
    <t>GJ36U6888</t>
  </si>
  <si>
    <t>213049/31/26/010850</t>
  </si>
  <si>
    <t>MR. CHAVDA NANJIBHAI</t>
  </si>
  <si>
    <t>HADMATIYA, RAJKOT, GUJARAT - 363641 , MORBI , RAJKOT, GUJARAT - 36364</t>
  </si>
  <si>
    <t>GJ36W1517</t>
  </si>
  <si>
    <t>213049/31/26/010849</t>
  </si>
  <si>
    <t>MR. JASPAL ARJUNBHAI PARMAR</t>
  </si>
  <si>
    <t>832 060 8829</t>
  </si>
  <si>
    <t>20-01-2028</t>
  </si>
  <si>
    <t>DAFTARI STREET BH ASHOKALAY MORVI RAJKOT, 363641 , MORBI , RAJKOT, GUJARAT - 3636</t>
  </si>
  <si>
    <t>GJ36W2883</t>
  </si>
  <si>
    <t>213049/31/26/010848</t>
  </si>
  <si>
    <t>MR. BHRAVADIYA SAGAR ILESBHAI</t>
  </si>
  <si>
    <t>292, ZUPADPATTI, NR CENAL, -, MORBI, GUJARAT-363641 , MORBI , RAJKOT, GUJARAT - 3636</t>
  </si>
  <si>
    <t>GJ36W4600</t>
  </si>
  <si>
    <t>213049/31/26/010847</t>
  </si>
  <si>
    <t>MR. JAYDIP HASMUKHBHAI VAGHORA</t>
  </si>
  <si>
    <t>KUBER TOKIT PACHAL VIKAS, VIDHYALAYNI BAJUMA MORBI PPW,MORBI, ,MORBIPPW, MORBI - 36364 , MORBI PPW , RAJKOT, GUJARAT - 36364</t>
  </si>
  <si>
    <t>GJ03BU7733</t>
  </si>
  <si>
    <t>POCMVGC0100662850</t>
  </si>
  <si>
    <t>Atul Auto,ATUL SHAKTI &amp; Cargo D</t>
  </si>
  <si>
    <t>Mr.DHAMAR MAHESHBHAI MADHAVJIBHA</t>
  </si>
  <si>
    <t>84699 45330</t>
  </si>
  <si>
    <t>TO&amp;CF</t>
  </si>
  <si>
    <t>KULI NAGAR 2,BEHIND RAILWAY STATION,ROHIDAS PARA,Rajkot,Gujarat363641,India</t>
  </si>
  <si>
    <t>GJ36W2648</t>
  </si>
  <si>
    <t>POCMVGC0100662852</t>
  </si>
  <si>
    <t>Mr.LAKHAMAN DEVSHIBHAI HAN</t>
  </si>
  <si>
    <t>LAKHDHIRNAGAR,MORBI,MDG,Rajkot,Gujarat3636 41,India</t>
  </si>
  <si>
    <t>GJ36U7875</t>
  </si>
  <si>
    <t>POCMVGC0100662849</t>
  </si>
  <si>
    <t>Mr.ASHVIN CHHANABHAI DABHI</t>
  </si>
  <si>
    <t>133 RAM KRUSH NAGAR,STREET 4,TA WANKANER,Rajkot,Gujarat363621,India</t>
  </si>
  <si>
    <t>GJ14Z2625</t>
  </si>
  <si>
    <t>3003/A/425431777/00/000</t>
  </si>
  <si>
    <t>AADHYASHAKTI TRADING</t>
  </si>
  <si>
    <t>15-05-2028</t>
  </si>
  <si>
    <t>PROP NARENDRASINH SAVUBHAI ZALA, OFFICE NO 3034 THIRD FLOOR SURVEY NO 919 PLT NO 3, 4 AND 5 CITY MALL, MORBI, GUJARAT 363641</t>
  </si>
  <si>
    <t>GJ36V6326</t>
  </si>
  <si>
    <t>3379/04593565/000/00</t>
  </si>
  <si>
    <t>BOLERO MAXX PUP - 1.4 CITY VXI BSVI</t>
  </si>
  <si>
    <t>JAKASHIBHAI BIJALBHAI MUNGHAVA</t>
  </si>
  <si>
    <t>SAMTHERVA SAMTHERVA, WANKANER S.O,RAJKOT GUJARAT,PIN- 363621</t>
  </si>
  <si>
    <t>GJ36V3265</t>
  </si>
  <si>
    <t>2315 2081 1800 5800 000</t>
  </si>
  <si>
    <t>MR HARENDRA KUMAR SINGH</t>
  </si>
  <si>
    <t>MARUTI PARK BH MARUTI CHAMBER PIPALI MORBI GUJARAT RAJKOT RAJKOT GUJARAT 363641</t>
  </si>
  <si>
    <t>GJ36AJ9538</t>
  </si>
  <si>
    <t>160222623090000999</t>
  </si>
  <si>
    <t>MARUTI SUZUKI EECO 5 STR AC CNG</t>
  </si>
  <si>
    <t>Mr. YUNUSHBHAI MAHAMADBHAI MANEK</t>
  </si>
  <si>
    <t>21-01-2039</t>
  </si>
  <si>
    <t>19-05-2026</t>
  </si>
  <si>
    <t>LATI PLOT-8 JONCE NAGAR TALAV NI PAL OTHER OTHER MORBI MORBI, RAJKOT, GUJARAT, India, 363641.</t>
  </si>
  <si>
    <t>21/1/2026</t>
  </si>
  <si>
    <t>GJ36W1966</t>
  </si>
  <si>
    <t>213049/31/26/010895</t>
  </si>
  <si>
    <t>THUKRAL ELECTRIC BIKES PVT LTD - THUKRAL DLX</t>
  </si>
  <si>
    <t>HASMUKHBHAI PRANJIVANBHAI AGOLA</t>
  </si>
  <si>
    <t>98259 62471</t>
  </si>
  <si>
    <t>19/01/2027</t>
  </si>
  <si>
    <t>BHADIYAD, BHADIYAD, BHADIYAD, MORBI-GUJARAT-363642 , BHADIYAD , RAJKOT, GUJARAT</t>
  </si>
  <si>
    <t>GJ36U9427</t>
  </si>
  <si>
    <t>213049/31/26/010894</t>
  </si>
  <si>
    <t>KISHORBHAI DHANABHAI SOLANKI</t>
  </si>
  <si>
    <t>CF&amp;TO&amp;PERMIT</t>
  </si>
  <si>
    <t>21-01-2028</t>
  </si>
  <si>
    <t>KALIKA PLOT, MORBI, MORVI, RAJKOT, SHRI SARDANAGAR, GUJARAT, 363641 , MORBI , RAJKOT, GUJARAT</t>
  </si>
  <si>
    <t>GJ36U5255</t>
  </si>
  <si>
    <t>213049/31/26/010893</t>
  </si>
  <si>
    <t>CHANIYA ADAM ALARAKHABHAI</t>
  </si>
  <si>
    <t>18-02-2029</t>
  </si>
  <si>
    <t>SADULKANAVA , - SADULKANAVARAJKOT , RAJKOT, GUJARAT</t>
  </si>
  <si>
    <t>GJ36U2512</t>
  </si>
  <si>
    <t>213049/31/26/010892</t>
  </si>
  <si>
    <t>ABDUL KHAMISHA RATNA</t>
  </si>
  <si>
    <t>23/01/2027</t>
  </si>
  <si>
    <t>237 100SQ VAR AREA MITANA 2 TANKARA , - MORBIRAJKOT , RAJKOT, GUJARAT</t>
  </si>
  <si>
    <t>MP43G1433</t>
  </si>
  <si>
    <t>67300231250200024885</t>
  </si>
  <si>
    <t>MAHINDRA/BOLERO</t>
  </si>
  <si>
    <t>GOPAL BAMNIYA</t>
  </si>
  <si>
    <t>NEW INDIA</t>
  </si>
  <si>
    <t>23-01-2024</t>
  </si>
  <si>
    <t>VILL BARWET, TEH PETLAWAD MADHYA PRADESH .,,, INDORE ,MADHYA PRADESH, 452003</t>
  </si>
  <si>
    <t>GJ36V8439</t>
  </si>
  <si>
    <t>2315 2081 2413 1800 000</t>
  </si>
  <si>
    <t>BHOJAVIYA RAKESH GUNVANTBHAI</t>
  </si>
  <si>
    <t>21-01-2027</t>
  </si>
  <si>
    <t>DEVI PUJAK VAS P O KHAKHRECHI KHAKHRECHI PO KHAKHRECHI DIST RAJKOT GUJARAT RAJKOT RAJKOT</t>
  </si>
  <si>
    <t>GJ03BW6830</t>
  </si>
  <si>
    <t>3379/04595900/000/00</t>
  </si>
  <si>
    <t>HUSEN D KAIDA</t>
  </si>
  <si>
    <t>95869 47033</t>
  </si>
  <si>
    <t>95864 74751</t>
  </si>
  <si>
    <t>19-03-2026</t>
  </si>
  <si>
    <t>KALIKA PLOT ST NO 5 RAVAPAR ROAD MORBI,, WANKANER S.O,RAJKOT</t>
  </si>
  <si>
    <t>GJ12BV2156</t>
  </si>
  <si>
    <t>213049/31/26/010890</t>
  </si>
  <si>
    <t>PRAVINBHAI MOHANBHAI SANCHANIYA</t>
  </si>
  <si>
    <t>22-04-2029</t>
  </si>
  <si>
    <t>VARIYA BHUVAN GANDHIGRAM, RAJKOT, RAJKOT, RAJKOT-GUJARAT-360007 , RAJKOT RAIYA ROAD , RAJKOT, GUJARAT</t>
  </si>
  <si>
    <t>GJ36AC6480</t>
  </si>
  <si>
    <t>3001/425557293/00/000</t>
  </si>
  <si>
    <t>ALTO LX</t>
  </si>
  <si>
    <t>ASHVINSINH UDAYSINH JADEJA</t>
  </si>
  <si>
    <t>30-01-2037</t>
  </si>
  <si>
    <t>MOMAI KRUPA, 2, KAYAJI PLOT, SANALA ROAD, MORVI, PO MORBI MDG, DIST RAJKOT, GUJARAT - 363641,, MORBI, GUJARAT 363641</t>
  </si>
  <si>
    <t>GJ36AC6012</t>
  </si>
  <si>
    <t>3001/425557221/00/000</t>
  </si>
  <si>
    <t>ALTO LXI</t>
  </si>
  <si>
    <t>ANIRUDHSINH UDAYSINH JADEJA</t>
  </si>
  <si>
    <t>MOMOI KRUPA, 2 KAYAJI PLOT, SANALA ROAD, MORVI, RAJKOT, GUJARAT 363641,, MORBI, GUJARAT 363641</t>
  </si>
  <si>
    <t>GJ36V6124</t>
  </si>
  <si>
    <t>3379/04237310/000/01</t>
  </si>
  <si>
    <t>RATILAL KHODABHAI GINGORA</t>
  </si>
  <si>
    <t>19-02-2029</t>
  </si>
  <si>
    <t>145 BHARVAD KUMBHARVAS STREET OF CHHIDI AT GHUNTU DI MORBI, MORBI,MORBI</t>
  </si>
  <si>
    <t>22/01/2026</t>
  </si>
  <si>
    <t>BOLERO CAMPER</t>
  </si>
  <si>
    <t>WANKANER MORBI,WANKANER, ,WANKANER S.O,RAJKOT,GUJARAT,PIN - 363621</t>
  </si>
  <si>
    <t>GJ07YZ9019</t>
  </si>
  <si>
    <t>POCMVGC0100666345</t>
  </si>
  <si>
    <t>Tata Motors,Signa &amp; 3518 T - 35000 GVW</t>
  </si>
  <si>
    <t>.VIKAS ENTERPRISE</t>
  </si>
  <si>
    <t>99780 92440</t>
  </si>
  <si>
    <t>98254 21440</t>
  </si>
  <si>
    <t>15-06-2027</t>
  </si>
  <si>
    <t>15-06-2026</t>
  </si>
  <si>
    <t>DHRAGADHRA ROAD,SHOP NO 62 MARKETING YARD,HALVAD,Surendra Nagar,Gujarat363330,India</t>
  </si>
  <si>
    <t>GJ12BW4951</t>
  </si>
  <si>
    <t>3003/A/425610241/00/000</t>
  </si>
  <si>
    <t>TATA MOTORS TRUCKS LPT 709 TRUCK</t>
  </si>
  <si>
    <t>29-07-2030</t>
  </si>
  <si>
    <t>PROP NARENDRASINH SAVUBHAI ZALA, NR RAMJI MANDIR AT SHAKAT SHANALA, MORBI, GUJARAT 363641</t>
  </si>
  <si>
    <t>GJ12X2245</t>
  </si>
  <si>
    <t>3003/A/425687369/00/000</t>
  </si>
  <si>
    <t>NANDASANA HASMUKHBHAI</t>
  </si>
  <si>
    <t>22/01/2027</t>
  </si>
  <si>
    <t>0, JODIYA HADIYANA JAMNAGAR, JAMNAGAR, GUJARAT 361011</t>
  </si>
  <si>
    <t>GJ36U9215</t>
  </si>
  <si>
    <t>213049/31/26/010936</t>
  </si>
  <si>
    <t>BHATTI HASANALI GULAMRASULBHAI</t>
  </si>
  <si>
    <t>KALAL SHERI, NAHERU GATE MDG,, MORBI-GUJARAT-363641 , MORBI , RAJKOT, GUJARAT</t>
  </si>
  <si>
    <t>GJ12AU8488</t>
  </si>
  <si>
    <t>POCMVGC0100667758</t>
  </si>
  <si>
    <t>Ashok Leyland,3116 &amp; IL 8X2 - 35000 GVW</t>
  </si>
  <si>
    <t>.CHANIYA RAFIKBHAI AAMADBHAI</t>
  </si>
  <si>
    <t xml:space="preserve">21/01/2027 </t>
  </si>
  <si>
    <t>14-03-2026</t>
  </si>
  <si>
    <t>121 MAIN BAZAR SANDHI STREET ,AT LUTAVADAR,,Morbi ,Rajkot,Rajkot,Gujarat363660,India</t>
  </si>
  <si>
    <t>GJ36X8070</t>
  </si>
  <si>
    <t>3379/04597525/000/00</t>
  </si>
  <si>
    <t>SOLANKI KISHAN BHUPATBHAI</t>
  </si>
  <si>
    <t>90333 83769</t>
  </si>
  <si>
    <t>20 S T QUARTER NEW BUS STAND SANALA ROAD MORBI, MORBI,RAJKO</t>
  </si>
  <si>
    <t>GJ13V5458</t>
  </si>
  <si>
    <t>3003/A/425686719/00/000</t>
  </si>
  <si>
    <t>ASHOK LEYLAND TIPPERS</t>
  </si>
  <si>
    <t>PRAKASHBHAI KHIMJIBHAI SARVAIYA</t>
  </si>
  <si>
    <t>AT-MAKANSAR,MORBI, RAJKOT, GUJARAT 363642</t>
  </si>
  <si>
    <t>GJ36M5231</t>
  </si>
  <si>
    <t>D248614220 / 21012026</t>
  </si>
  <si>
    <t>ACTIVA/5G STD (BSIV)</t>
  </si>
  <si>
    <t>FARUKBHAI KASAMBHAI UMRETIYA</t>
  </si>
  <si>
    <t>TM</t>
  </si>
  <si>
    <t>16-10-2033</t>
  </si>
  <si>
    <t>BLOCK NO - L / 7, JONSNAGAR,LATI PLOT, STREET NO - 11,Rajkot-363641</t>
  </si>
  <si>
    <t xml:space="preserve">GJ36X0338 </t>
  </si>
  <si>
    <t>182000/31/2026/3216</t>
  </si>
  <si>
    <t>TEMPO TRAVELLER AMBULANCE</t>
  </si>
  <si>
    <t>SUNNI MUSLIM SAMAJ TRUST</t>
  </si>
  <si>
    <t>ORIENTAL</t>
  </si>
  <si>
    <t>29-03-2026</t>
  </si>
  <si>
    <t>EID MASJID ROAD, OPP. BHARAT SERVICE STATION, MORBI</t>
  </si>
  <si>
    <t>GJ36W1933</t>
  </si>
  <si>
    <t>0604003125P116458800</t>
  </si>
  <si>
    <t>MAKWANA ASHOKBHAI PUNJABHAI</t>
  </si>
  <si>
    <t>28/01/2027</t>
  </si>
  <si>
    <t>28-01-2028</t>
  </si>
  <si>
    <t>AT-LAJAI, RAJKOT</t>
  </si>
  <si>
    <t>GJ36U7142</t>
  </si>
  <si>
    <t>213049/31/26/010934</t>
  </si>
  <si>
    <t>BAJAJ AUTO - RE CNG 4S FI BS6</t>
  </si>
  <si>
    <t>RAJESHBHAI SHAMJIBHAI BOCHIYA</t>
  </si>
  <si>
    <t>KHAKHRALA, KHAKHRALA, TA MORBI, MORBI-GUJARAT-363641 , MORBI , RAJKOT, GUJARAT</t>
  </si>
  <si>
    <t>GJ03BX4177</t>
  </si>
  <si>
    <t>213049/31/26/010933</t>
  </si>
  <si>
    <t>PARMAR GOVINDBHAI PANCHABHAI</t>
  </si>
  <si>
    <t>99793 80246</t>
  </si>
  <si>
    <t>25-05-2025</t>
  </si>
  <si>
    <t>GHUNADA KHANPAR, MORBI MDG, RAJKOT, TANKARA, GUJARAT, 363641 , MORBI , RAJKOT, GUJARAT</t>
  </si>
  <si>
    <t>GJ36W4775</t>
  </si>
  <si>
    <t>213049/31/26/010932</t>
  </si>
  <si>
    <t>MAMAD KASU BUCHAD</t>
  </si>
  <si>
    <t>MIYANA, VAS VAVANIYA,, ,VAVANIA, RA-JKOT - 363660 , VAVANIA , RAJKOT, GUJARAT</t>
  </si>
  <si>
    <t>GJ14AA9743</t>
  </si>
  <si>
    <t>12-1805-0008856706-0</t>
  </si>
  <si>
    <t>MARUTI ALTO 800</t>
  </si>
  <si>
    <t>Bhatti Inush Abbasbhai</t>
  </si>
  <si>
    <t>N.TRANS.</t>
  </si>
  <si>
    <t>Maliya Maliya Po Maliya Miyana Dist Morbi, , , Maliya Miyana,, Rajkot,, Gujarat-363670</t>
  </si>
  <si>
    <t>GJ07TT9011</t>
  </si>
  <si>
    <t>3003/A/425684985/00/000</t>
  </si>
  <si>
    <t>ASHOK LEYLAND TRUCKS AL 2214</t>
  </si>
  <si>
    <t>SONARA BAVKUBHAI BHURABHAI</t>
  </si>
  <si>
    <t>91044 40037</t>
  </si>
  <si>
    <t>23-08-2030</t>
  </si>
  <si>
    <t>NAVAGAM ROAD, SARVODAY SOCIETY, NEAR SHREE RAM POTRI, SURENDRANAGAR, GUJARAT 363530</t>
  </si>
  <si>
    <t>GJ16W2002</t>
  </si>
  <si>
    <t>3003/A/425684929/00/000</t>
  </si>
  <si>
    <t>TATA MOTORS TRUCKS TATA SE 1613</t>
  </si>
  <si>
    <t>SUMARA ISHBBHAI VALIMAMDBHAI</t>
  </si>
  <si>
    <t>93130 82900</t>
  </si>
  <si>
    <t>25-07-2026</t>
  </si>
  <si>
    <t>25-01-2026</t>
  </si>
  <si>
    <t>23-02-2030</t>
  </si>
  <si>
    <t>ANDAMA, RAJKOT, MORBI, GUJARAT 363641</t>
  </si>
  <si>
    <t>GJ36V6189</t>
  </si>
  <si>
    <t>213049/31/26/010938</t>
  </si>
  <si>
    <t>MAHINDRA AND MAHINDRA - SCORPIO CLASSIC S MT 9S BS 6</t>
  </si>
  <si>
    <t>DIPENKUMAR SANJAYKUMAR SHAH</t>
  </si>
  <si>
    <t>29-11-2027</t>
  </si>
  <si>
    <t>28/C, JALARAM JYOT SOCIETY, MAHAVIRNAGAR, HIMATNAGAR, HIMATNAGAR, SABARKANTHA, HIMATNAGAR, , HIMATNAGARSABARKANTHA , SABARKANTHA, GUJARAT</t>
  </si>
  <si>
    <t>GJ27TD3432</t>
  </si>
  <si>
    <t>POCMVGC0100667118</t>
  </si>
  <si>
    <t>Ashok Leyland,3118 &amp; IL XL/1 - 35000 GVW</t>
  </si>
  <si>
    <t>Mr.HANIFBHAI ALIBHAI GHANCHI</t>
  </si>
  <si>
    <t>25-12-2025</t>
  </si>
  <si>
    <t>13-11-2029</t>
  </si>
  <si>
    <t>14 MALEK FALIYU,JETALPUR,A BAD,Ahmedabad,Gujarat382427,India</t>
  </si>
  <si>
    <t>GJ36AF9211</t>
  </si>
  <si>
    <t>Mr. Osman Sumar Movar</t>
  </si>
  <si>
    <t>6354 199 228</t>
  </si>
  <si>
    <t xml:space="preserve"> 97148 04592</t>
  </si>
  <si>
    <t>14-09-2025</t>
  </si>
  <si>
    <t>6, NR. BUS STATION MALIA(MI) TA. MALIYA, DIST MORBI Rajkot - 363670,Gujarat</t>
  </si>
  <si>
    <t>GJ36V0624</t>
  </si>
  <si>
    <t>POCMVGC0100666788</t>
  </si>
  <si>
    <t>Tata Motors,Intra &amp; V10 - 2145 GVW</t>
  </si>
  <si>
    <t>Mr.RAJESHBHAI DURLABHJIBHAI MALVANIYA</t>
  </si>
  <si>
    <t>99743 48444</t>
  </si>
  <si>
    <t>24-06-2027</t>
  </si>
  <si>
    <t>VANKIYA,MATHAK,HALVAD,Surendra Nagar,Gujarat363330,India</t>
  </si>
  <si>
    <t>GJ11TT6856</t>
  </si>
  <si>
    <t>3379/04597607/000/00</t>
  </si>
  <si>
    <t>BOLERO - PICK UP 1.5 FB PS BS III</t>
  </si>
  <si>
    <t>VADECHA NAVNIT MAGANBHAI</t>
  </si>
  <si>
    <t>16-09-2026</t>
  </si>
  <si>
    <t>22-07-2026</t>
  </si>
  <si>
    <t>14-07-2026</t>
  </si>
  <si>
    <t>AT PLOT 44P DHARMSIDHHI SOCIETY JAMBUDIYA MORBI,,,, MORBI PPW S.O,RAJKOT</t>
  </si>
  <si>
    <t>GJ13AX1750</t>
  </si>
  <si>
    <t>POCMVGC0100667792</t>
  </si>
  <si>
    <t>Maruti,Super Carry &amp; CNG STD</t>
  </si>
  <si>
    <t>Mr.DAYARAM HIMMATRAM VAISHNAV</t>
  </si>
  <si>
    <t>21-06-2025</t>
  </si>
  <si>
    <t>21-08-2026</t>
  </si>
  <si>
    <t>HALVAD ROAD,MEVADA OIL MILL PACHAD,DHRANGADHRA,Surendra Nagar,Gujarat363310,India</t>
  </si>
  <si>
    <t>GJ18AU8537</t>
  </si>
  <si>
    <t>POCMVGC0100667788</t>
  </si>
  <si>
    <t>Ashok Leyland,1616 &amp; XL - Tipper</t>
  </si>
  <si>
    <t>Mr.JAYANTIBHAI JADUBHAI SHIHORA</t>
  </si>
  <si>
    <t>29-07-2029</t>
  </si>
  <si>
    <t>Kedariya,Dhanala,Halvad,Surendra Nagar,Gujarat363351,India</t>
  </si>
  <si>
    <t>23/01/2026</t>
  </si>
  <si>
    <t>GJ13AX2958</t>
  </si>
  <si>
    <t>POCMVGC0100668578</t>
  </si>
  <si>
    <t>Tata Motors,LPT 1616 &amp; DCR49HSD - 16140 GVW</t>
  </si>
  <si>
    <t>Mr.SARLA MAHADEVBHAI MAVJIBHAI</t>
  </si>
  <si>
    <t>95100 88688</t>
  </si>
  <si>
    <t>75675 78681</t>
  </si>
  <si>
    <t>:21/01/2027</t>
  </si>
  <si>
    <t>17-05-2029</t>
  </si>
  <si>
    <t>AT-MAHADEVGADH,TAMULI,SURENDRANAGAR,Surendra Nagar,Gujarat363310,India</t>
  </si>
  <si>
    <t>GJ36R0198</t>
  </si>
  <si>
    <t>3001/425795922/00/000</t>
  </si>
  <si>
    <t>KIA MOTORS SELTOS D 1.5 GTX PLUS AT</t>
  </si>
  <si>
    <t>BAVARAVA JAYANTILAL KHIMJI</t>
  </si>
  <si>
    <t>30/01/2027</t>
  </si>
  <si>
    <t>BARVALA GAM NAVA PLOT NEAR PATEL SAMAJ VADI TALUKA, MORBI DISTRICT MORBI, MORBI, GUJARAT 363641</t>
  </si>
  <si>
    <t>GJ36V6292</t>
  </si>
  <si>
    <t>213049/31/26/010949</t>
  </si>
  <si>
    <t>TATA MOTORS - SIGNA 4625 S BS 6</t>
  </si>
  <si>
    <t>SHAKTI ENTERPRISE</t>
  </si>
  <si>
    <t>26/01/2027</t>
  </si>
  <si>
    <t>OPP SHIV SHAKTI PLOT NO 3P NAVA SADULKA NH NAVA SADULKA SURVEY NO 118 P4P MORBI GUJARAT 36 , .-MORBI , RAJKOT, GUJARAT</t>
  </si>
  <si>
    <t>GJ36V6274</t>
  </si>
  <si>
    <t>213049/31/26/010944</t>
  </si>
  <si>
    <t>GJ03EC7531</t>
  </si>
  <si>
    <t>MARUTI EECO</t>
  </si>
  <si>
    <t>Mr. Bukhari Abbasmiya Hushenmiya</t>
  </si>
  <si>
    <t>AMRAN, AMRAN, AMRAN, JAMNAGAR JODIYA Rajkot 363655, Gujarat</t>
  </si>
  <si>
    <t>GJ10AP6999</t>
  </si>
  <si>
    <t>VPC1996122000100</t>
  </si>
  <si>
    <t>TOYOTA KIRLOSKAR MOTOR LTD.</t>
  </si>
  <si>
    <t>Mr SODHA DEEPAK</t>
  </si>
  <si>
    <t>22-07-2030</t>
  </si>
  <si>
    <t>BLOCK NO 79,ROYAL PUSHPAK, PARK SOC OPP KHODIYAR COLONY, , KHODIYAR COLONY, ,, JAMNAGAR, , , JAMNAGAR, 361006, GUJARAT</t>
  </si>
  <si>
    <t>GJ36T0216</t>
  </si>
  <si>
    <t>3003/425822151/00/B00</t>
  </si>
  <si>
    <t>M &amp; M PICK-UP VANS BOLERO PICK-UP FB</t>
  </si>
  <si>
    <t>AJANA RAHUL JAGDISHBHAI</t>
  </si>
  <si>
    <t xml:space="preserve">87808 27812 </t>
  </si>
  <si>
    <t xml:space="preserve">89532 27232 </t>
  </si>
  <si>
    <t>17-08-2025</t>
  </si>
  <si>
    <t>JODHPUR NADI, JODHPAR , MORBI, MORBI, GUJARAT 363641</t>
  </si>
  <si>
    <t>GJ36U4747</t>
  </si>
  <si>
    <t>213049/31/26/010973</t>
  </si>
  <si>
    <t>BAJAJ AUTO - RE COMPACT 2S</t>
  </si>
  <si>
    <t>MUNESH SADRUDIN ANDANI</t>
  </si>
  <si>
    <t>30-01-2027</t>
  </si>
  <si>
    <t>23-07-2026</t>
  </si>
  <si>
    <t>14-16-113 , FIDAI PARK , BAYPASS ROAD , MORBI , RAJKOT , GUJARAT - 363641 , MORBIRAJKOT , RAJKOT, GUJARAT</t>
  </si>
  <si>
    <t>GJ10TZ2192</t>
  </si>
  <si>
    <t>213049/31/26/010972</t>
  </si>
  <si>
    <t>AARIF SIDIKBHAI KAKAL</t>
  </si>
  <si>
    <t>IKBAL CHOWK RAM MANDIR ROAD. BEDI JAMNAGAR JAMNAGA JAMNAGAR-GUJARAT-361009 , BEDI , JAMNAGAR, GUJARAT</t>
  </si>
  <si>
    <t>GJ36W3535</t>
  </si>
  <si>
    <t>213049/31/26/010971</t>
  </si>
  <si>
    <t>AUTO RICKSHAW / CNG</t>
  </si>
  <si>
    <t>KAILASH KALUBHAI SAKARIYA</t>
  </si>
  <si>
    <t>92751 70084</t>
  </si>
  <si>
    <t>VISIPARA AMARSAR, TA WANKANER,, MORBI-GUJARAT-363621 , WANKANER , RAJKOT, GUJARAT</t>
  </si>
  <si>
    <t>GJ36T7004</t>
  </si>
  <si>
    <t>3379/04599060/000/00</t>
  </si>
  <si>
    <t>GOVINDBHAI KALABHAI FANGALIYA</t>
  </si>
  <si>
    <t>AT KHUADIYA TA WANKANER DIS MORBI,,, WANKANER S.O,RAJKOT</t>
  </si>
  <si>
    <t>GJ17XX4636</t>
  </si>
  <si>
    <t>3379/04242165/000/01</t>
  </si>
  <si>
    <t>SHIVRAJSINH NARVATSINH CHAUHAN</t>
  </si>
  <si>
    <t>SIMALIYA TA- GHOGHAMBA PANCHMAHAL- GUJARAT, SIMALIA B.O,PANCH MAHALS</t>
  </si>
  <si>
    <t>GJ36X3595</t>
  </si>
  <si>
    <t>3379/04599059/000/00</t>
  </si>
  <si>
    <t>DHANJIBHAI PREMJIBHAI ABASANIYA</t>
  </si>
  <si>
    <t>13 MAIN CHORA STREET, AT - RATAVIRDA,, RAJKOT, GUJARAT,,, WANKANER S.O,RAJKOT</t>
  </si>
  <si>
    <t>GJ03CQ9291</t>
  </si>
  <si>
    <t>201640040225708370400000</t>
  </si>
  <si>
    <t>HERO MOTOCORP/SPLENDOR PLUS/LTD EDITION/Solo with Pillion</t>
  </si>
  <si>
    <t>CHANIYA YUNUSH MUSABHAI</t>
  </si>
  <si>
    <t>97261 51970</t>
  </si>
  <si>
    <t>REPARSSING</t>
  </si>
  <si>
    <t>KABIR TEKRI,SHERI NO 2,,GUJARAT,RAJKOT,LAJAI-363641</t>
  </si>
  <si>
    <t>GUL5001</t>
  </si>
  <si>
    <t>0679013125P116525840</t>
  </si>
  <si>
    <t>Royal Enfield / Bullet BULLET 350</t>
  </si>
  <si>
    <t>ZALA HARIRAJSINH</t>
  </si>
  <si>
    <t>24-04-2027</t>
  </si>
  <si>
    <t>19-07-2026</t>
  </si>
  <si>
    <t>DARBAR GADH, SAKTA SANALA, SHAKAT SANALA, MORBI, GUJARAT</t>
  </si>
  <si>
    <t>GJ06ZZ4770</t>
  </si>
  <si>
    <t>P0026200007/4103/106341</t>
  </si>
  <si>
    <t>EICHER 11.10 HDH HSD RHD BS/OPEN</t>
  </si>
  <si>
    <t>Mr SHIDDARAJ SHIVABHAI PARMAR</t>
  </si>
  <si>
    <t>CHHATTAR ,RAJKOT RAJKOT GUJARAT 363650</t>
  </si>
  <si>
    <t>GJ36V6208</t>
  </si>
  <si>
    <t>3003/425805801/00/B00</t>
  </si>
  <si>
    <t>BOLERO MAXX PUP HD 2.0L VXI</t>
  </si>
  <si>
    <t>RAIGA GOPALBHAI RAMJIBHAI</t>
  </si>
  <si>
    <t>25-01-2028</t>
  </si>
  <si>
    <t>31-08-2026</t>
  </si>
  <si>
    <t>22-02-2029</t>
  </si>
  <si>
    <t>DAKSH PRAJAPATI VALI SHERI PANCHAYAT OFFICE PACHHALSAKTASANALA, MORBI, GUJARAT 363641</t>
  </si>
  <si>
    <t>GJ36AJ8823</t>
  </si>
  <si>
    <t>MAHINDRA &amp; MAHINDRA XUV300</t>
  </si>
  <si>
    <t>Mr. Panjvani Renish Rahimbhai</t>
  </si>
  <si>
    <t>31-12-2038</t>
  </si>
  <si>
    <t>AKSHARDHAM PARK NAVLAKHI ROAD MORBI Rajkot - 363641,Gujarat</t>
  </si>
  <si>
    <t>GJ36W0809</t>
  </si>
  <si>
    <t>POCMVGC0100670105</t>
  </si>
  <si>
    <t>Mr.MEHUL GOPALBHAI BAROT</t>
  </si>
  <si>
    <t>18-10-2025</t>
  </si>
  <si>
    <t>SANTKABIR VATIKA,NR SAMJUBA SCHOOL,NANI VAVDI,Rajkot,Gujarat363641,India</t>
  </si>
  <si>
    <t>GJ36T7369</t>
  </si>
  <si>
    <t>POCMVGC0100670117</t>
  </si>
  <si>
    <t>Mahindra &amp; Mahindra,Supro &amp; Mini Truck 1870 GVW</t>
  </si>
  <si>
    <t>Mr.VIJAYBHAI JETHALAL GOCHIYA</t>
  </si>
  <si>
    <t>98980 10132</t>
  </si>
  <si>
    <t>24-09-2025</t>
  </si>
  <si>
    <t>HARIJAN VAS,AT JETPAR,TA MORBI,Rajkot,Gujarat363641,India</t>
  </si>
  <si>
    <t>GJ03FG9106</t>
  </si>
  <si>
    <t>D248770924 / 22012026</t>
  </si>
  <si>
    <t>ACTIVA/SCV 110</t>
  </si>
  <si>
    <t>KARETHA RAJESH NATHABHAI</t>
  </si>
  <si>
    <t>30-06-2028</t>
  </si>
  <si>
    <t>AMBIKA ROAD, MAFTIYU PARU,NAVLAKHI ROAD, -, PO : MORBL,Rajkot-363641</t>
  </si>
  <si>
    <t>24/01/2026</t>
  </si>
  <si>
    <t>GJ36E5146</t>
  </si>
  <si>
    <t>12-1806-0008871842-00</t>
  </si>
  <si>
    <t>HERO MOTOCORP</t>
  </si>
  <si>
    <t>Baghabhai Fangaliya</t>
  </si>
  <si>
    <t>Tol Vankaner, Tankara, Rajkot, Rajkot,, Rajkot,, Gujarat363621</t>
  </si>
  <si>
    <t>GJ03NK0078</t>
  </si>
  <si>
    <t>3001/O/425953806/00/B00</t>
  </si>
  <si>
    <t>SCORPIO N Z8T 2WD AT DIESEL 7 STR</t>
  </si>
  <si>
    <t>YASH ASHOKBHAI KHAKHRIYA</t>
  </si>
  <si>
    <t>30-06-2026</t>
  </si>
  <si>
    <t>AT ANANDPAR NAVAGAM TA DI RAJKOT, RAJKOT, GUJARAT 360003</t>
  </si>
  <si>
    <t>GJ04AX0774</t>
  </si>
  <si>
    <t>POCMVGC0100671931</t>
  </si>
  <si>
    <t>Ashok Leyland,2516 &amp; il - 28000 GVW</t>
  </si>
  <si>
    <t>Mr.AKBAR ABDUL SAICHA</t>
  </si>
  <si>
    <t>21-02-2028</t>
  </si>
  <si>
    <t>AT-SHIV SOCIETY NEAR SARDARJI BANGLOJ ,SAYNTIFIK ROAD ,MORBI,RAJKOT,Rajkot,Gujarat363641,India</t>
  </si>
  <si>
    <t>GJ36V8274</t>
  </si>
  <si>
    <t>3379/04245015/000/01</t>
  </si>
  <si>
    <t>BOLERO - PIK UP FB 1.7T PS BS VI</t>
  </si>
  <si>
    <t>YASINBHAI MAHEBUBBHAI MULTANI</t>
  </si>
  <si>
    <t>14-04-2027</t>
  </si>
  <si>
    <t>CHARADVA, TAL HALVAD, CHARADVA, CHARADVA B.O,SURENDRA NAGAR</t>
  </si>
  <si>
    <t>GJ36V1243</t>
  </si>
  <si>
    <t>3379/04242089/000/01</t>
  </si>
  <si>
    <t>BOLERO</t>
  </si>
  <si>
    <t>DEV CHEMICALS</t>
  </si>
  <si>
    <t>DEV PLAZA 5 LATI PLOT MORBI</t>
  </si>
  <si>
    <t>GJ36V6167</t>
  </si>
  <si>
    <t>213049/31/26/010995</t>
  </si>
  <si>
    <t>MAHINDRA AND MAHINDRA - SUPRO MINITRUCK VX</t>
  </si>
  <si>
    <t>DHARMIKKUMAR LALJIBHAI METHANIYA</t>
  </si>
  <si>
    <t>158 PLOT VISTAR PATEL VAS, AT RANMALPUR TA HALVAD, DIS MORBI, MORBI-GUJARAT-363330 , HALVAD , SURENDRA NAGAR, GUJARAT</t>
  </si>
  <si>
    <t>GJ36V5978</t>
  </si>
  <si>
    <t>3003/425979883/00/000</t>
  </si>
  <si>
    <t>TATA MOTORS PICK UP VAN INTRA V2</t>
  </si>
  <si>
    <t>SHREE MAHAKALI TRADERS</t>
  </si>
  <si>
    <t>24-12-2027</t>
  </si>
  <si>
    <t>GROUND FLOOR SHOP NO 12, SHIVDHARA SHOPING, MORBI, MORBI, GUJARAT 363641</t>
  </si>
  <si>
    <t>GJ36S3912</t>
  </si>
  <si>
    <t>3008/425977448/00/000</t>
  </si>
  <si>
    <t>APOLLO CARMIX EQUIPMENTS PVT LTD</t>
  </si>
  <si>
    <t>VENTUE INFRA DEVELOPERS</t>
  </si>
  <si>
    <t>26-02-2025</t>
  </si>
  <si>
    <t>PROP. NANDLAL DHANJIBHAI BHAGIYA, VODAFONE TOWER, 176,PLOT VISTAR MAIN BAZAR, RAJKOT-MORBI HIGHWAYHARBATIYALI, TATANKARA, MORBI, GUJARAT 363650</t>
  </si>
  <si>
    <t>GJ03BY6217</t>
  </si>
  <si>
    <t>2315 2081 4297 2800 000</t>
  </si>
  <si>
    <t>SUPER CARRY - STD CNG.</t>
  </si>
  <si>
    <t>PARMAR JITENDRA MANSINH BHAI</t>
  </si>
  <si>
    <t>20-02-2026</t>
  </si>
  <si>
    <t>53 A 13 CORNER RAJ NAGAR NANA MAVA ROAD RAJKOT RAJKOT GUJARAT RAJKOT RAJKOT GUJARAT 360004 Tel</t>
  </si>
  <si>
    <t>GJ36V3439</t>
  </si>
  <si>
    <t>TATA MOTORS, LPT 1512, DCR42CBC 125B6M5</t>
  </si>
  <si>
    <t>Mr.VASHRAMBHAI BUTABHAI ZAPADA</t>
  </si>
  <si>
    <t>TRAJPAR, KHARI, RAFALESHWAR, RAJKOT, RAJKOT, GUJARAT, 363642, INDIA.</t>
  </si>
  <si>
    <t>25/01/2026</t>
  </si>
  <si>
    <t>GJ10TV9329</t>
  </si>
  <si>
    <t>POCMVGC0100672861</t>
  </si>
  <si>
    <t>Ashok Leyland,3118 &amp; II -</t>
  </si>
  <si>
    <t>Mr.MALAN RAMKUMAR JENTIBHAI</t>
  </si>
  <si>
    <t>14-02-2027</t>
  </si>
  <si>
    <t>AT-GADHAVI
VAS,JAMBUDA,JAMNAGAR,Jamnagar,Gujarat3611</t>
  </si>
  <si>
    <t>GJ18AU7858</t>
  </si>
  <si>
    <t>3379/04601941/000/00</t>
  </si>
  <si>
    <t>THEBA ASHIF VALIMAMAD</t>
  </si>
  <si>
    <t xml:space="preserve"> 96870 47038</t>
  </si>
  <si>
    <t>21-07-2026</t>
  </si>
  <si>
    <t>20-03-2030</t>
  </si>
  <si>
    <t>2 AMBIKA CHOWK VALI STREET UNTBET SHAMPAR MORBI GUAJARAT,, AMRAN S.O,JAMNAGAR GUJARAT,PIN- 363655</t>
  </si>
  <si>
    <t>GJ36V1292</t>
  </si>
  <si>
    <t>213049/31/26/011029</t>
  </si>
  <si>
    <t>ASHOK LEYLAND - 3718</t>
  </si>
  <si>
    <t>MR. JAVEDBHAI ABDULBHAI MULTANI</t>
  </si>
  <si>
    <t>24-10-2027</t>
  </si>
  <si>
    <t>24-12-2026</t>
  </si>
  <si>
    <t>28-07-2030</t>
  </si>
  <si>
    <t>SAEN SOC GHANCHIVAD, CHOTILA, SURENDRANAGAR SURENDRANAGAR-GUJARAT-363520 , CHOTILA , SURENDRA NAGAR, GUJARAT - 3635</t>
  </si>
  <si>
    <t>GJ36V8183</t>
  </si>
  <si>
    <t>3379/04601945/000/00</t>
  </si>
  <si>
    <t>YUNUSKHAN AKABARKHAN AFEDI</t>
  </si>
  <si>
    <t>AT - SARTANPAR , TA - WANKANER DI - , ., RAJKOT, RAJKOT, GUJARAT, 363621, INDIA, WANKANER S.O,RAJKOT GUJARAT,PIN- 363621</t>
  </si>
  <si>
    <t>GJ36T8711</t>
  </si>
  <si>
    <t>3003/426056219/00/B00</t>
  </si>
  <si>
    <t>TATA MOTORS TRUCKS LPT 1109</t>
  </si>
  <si>
    <t>GAMARA PARESHBHAI MOTIBHAI</t>
  </si>
  <si>
    <t>27-02-2026</t>
  </si>
  <si>
    <t>AT-MACHCHHUNAGAR ,JAMBUDIYA,MORBI, MORBI, GUJARAT 363642</t>
  </si>
  <si>
    <t>GJ36W1975</t>
  </si>
  <si>
    <t>213049/31/26/011027</t>
  </si>
  <si>
    <t>MR. GARIYA MUKESH MAMUBHAI</t>
  </si>
  <si>
    <t>31/01/2027</t>
  </si>
  <si>
    <t>HARIPAR, MORBI., MORBI -363630 , HARIPAR , RAJKOT, GUJARAT - 363630</t>
  </si>
  <si>
    <t>GJ36W2633</t>
  </si>
  <si>
    <t>213049/31/26/011026</t>
  </si>
  <si>
    <t>MR. SANJAY DHARAMSHIBHAI MALAKIYA</t>
  </si>
  <si>
    <t>197-A MAIN BAZAR RAMJI TEMPLE AREA, NAVA DHUVA TA WANKANER,, MORBI-GUJARAT-363621 , WANKANER , RAJKOT, GUJARAT - 363</t>
  </si>
  <si>
    <t>GJ36W8810</t>
  </si>
  <si>
    <t>213049/31/26/011025</t>
  </si>
  <si>
    <t>MR. ANIL PRABHUBHAI SOLANKI</t>
  </si>
  <si>
    <t>23-01-2030</t>
  </si>
  <si>
    <t>INDIRANAGAR MAHENDRANAGAR, PART MORBI,, MORBI GUJARAT-363641 , MORBI , RAJKOT, GUJARAT - 36364</t>
  </si>
  <si>
    <t>GJ36W1165</t>
  </si>
  <si>
    <t>213049/31/26/011024</t>
  </si>
  <si>
    <t>MR. NAVGHANBHAI KUKABHAI BHARVAD</t>
  </si>
  <si>
    <t>KADIYANA, TAL HALVAD, , MORBI, GUJARAT, 363330 , HALVAD , SURENDRA NAGAR, GUJARAT - 36333</t>
  </si>
  <si>
    <t>GJ36V1239</t>
  </si>
  <si>
    <t>213049/31/26/011028</t>
  </si>
  <si>
    <t>TATA MOTORS - LPT 1212 DCR 42 HSD 125B6M5</t>
  </si>
  <si>
    <t>MR. BHAGUBHAI RANABHAI SANGANI</t>
  </si>
  <si>
    <t>AT VANJA VAS TAL TANKARA MORBI MORBI GUJARAT 363650 , TANKARA , RAJKOT, GUJARAT - 363</t>
  </si>
  <si>
    <t>GJ36X5001</t>
  </si>
  <si>
    <t>POCMVGC0100674162</t>
  </si>
  <si>
    <t>Ashok Leyland,1618</t>
  </si>
  <si>
    <t>Mr.DEKAVADIYA SAGARBHAI MERABHAI</t>
  </si>
  <si>
    <t>At Khetrdi,Ta Halvad,Morbi,Surendra Nagar,Gujarat363310,India</t>
  </si>
  <si>
    <t>GJ36W7556</t>
  </si>
  <si>
    <t>POCMVGC0100674132</t>
  </si>
  <si>
    <t>Mr.BAMBHAVA MANGABHAI MAIYABHAI</t>
  </si>
  <si>
    <t>Shindhavadar,Morbi,.,Rajkot,Gujarat363621,India</t>
  </si>
  <si>
    <t>GJ13AW4488</t>
  </si>
  <si>
    <t>132/02/17/0127/MTP/1010340771</t>
  </si>
  <si>
    <t>MAHINDRA AND MAHINDRA BOLERO PICK UP FB 2WD</t>
  </si>
  <si>
    <t>MR MUKESHBHAI MAVJIBHAI JANJUVADIA</t>
  </si>
  <si>
    <t>203 PLOT VISTAR DARBAR , SERI DHULKOT , MORBI, SURENDRANAGAR, SURENDRANAGAR, GUJARAT, INDIA, Pincode : 363351</t>
  </si>
  <si>
    <t>GJ36X4411</t>
  </si>
  <si>
    <t>2315 2081 4740 9000 000</t>
  </si>
  <si>
    <t>MR DESANI JAYESH JUGALDAS</t>
  </si>
  <si>
    <t>26-01-2027</t>
  </si>
  <si>
    <t>GAYATRI ROAD DATAR GARGAH PACHAD WANKANER AMARSAR RAJKOT RAJKOT RAJKOT GUJARAT 363621</t>
  </si>
  <si>
    <t>27/01/2026</t>
  </si>
  <si>
    <t>GJ03BT4850</t>
  </si>
  <si>
    <t>213049/31/26/011048</t>
  </si>
  <si>
    <t>BAJAJ AUTO - RE OPTIMA 4S</t>
  </si>
  <si>
    <t>MR. IQBALBHAI SALEMANBHAI KAMORA</t>
  </si>
  <si>
    <t>26-01-2025</t>
  </si>
  <si>
    <t>13-03-2027</t>
  </si>
  <si>
    <t>STREET NO 13 JONS NAGAR, HUSENI CHOWK, MORBI, MORBI, GUJARAT, 363641 , MORBIRAJKOT , RAJKOT, GUJARAT - 3636</t>
  </si>
  <si>
    <t>GJ36U1913</t>
  </si>
  <si>
    <t>213049/31/26/011047</t>
  </si>
  <si>
    <t>ST NO 13 JONS NAGAR HUSENI CHOWK MORBI MORBI GUJARAT 363641 , MORBIRAJKOT , RAJKOT, GUJARAT - 36364</t>
  </si>
  <si>
    <t>GJ36U9337</t>
  </si>
  <si>
    <t>213049/31/26/011046</t>
  </si>
  <si>
    <t>MR. KURESHI SAHIL</t>
  </si>
  <si>
    <t>cf,to,parmit hpa hpt</t>
  </si>
  <si>
    <t>KUMBHARPARA, WANKANER, AMARSAR, RAJKOT, GUJARAT - 363621 , WANKANER , RAJKOT, GUJARAT - 363621 ,</t>
  </si>
  <si>
    <t>GJ36U2804</t>
  </si>
  <si>
    <t>213049/31/26/011045</t>
  </si>
  <si>
    <t>MR. MAKWANA RAJESHBHAI</t>
  </si>
  <si>
    <t>17-11-2023</t>
  </si>
  <si>
    <t>13-02-2023</t>
  </si>
  <si>
    <t>KERALA, PO: WANKANER, DIST: RAJKOT, GUJARAT - 363621 , KERALA , RAJKOT, GUJARAT - 363621</t>
  </si>
  <si>
    <t>GJ12BW8182</t>
  </si>
  <si>
    <t>601722623340000415</t>
  </si>
  <si>
    <t>TATA SIGNA &amp; 3718 CR BS IV</t>
  </si>
  <si>
    <t>MR. DILIPBHAI SUNDARJIBHAI JETHLOJA</t>
  </si>
  <si>
    <t>PIPALI MORBI MDG RAJKOT MORBI, RAJKOT, GUJARAT, India, 363641.</t>
  </si>
  <si>
    <t>GJ13AW6709</t>
  </si>
  <si>
    <t>2315 2081 5134 6300 000</t>
  </si>
  <si>
    <t>MR DEEPAKKUMAR TARESAMLAL TUPAD</t>
  </si>
  <si>
    <t>17-01-2027</t>
  </si>
  <si>
    <t>SO TARSEM LAL H NO34811 PREM NAGAR HARDO CHHANNI ROAD GURDASPUR GURDASPUR PUNJAB GURDASPUR GURDASPUR PUNJAB 143521</t>
  </si>
  <si>
    <t>GJ13AX3067</t>
  </si>
  <si>
    <t>3379/04250981/000/01</t>
  </si>
  <si>
    <t>MAXX PUP HD - 1.7 VXI BSVI</t>
  </si>
  <si>
    <t>PRAVINBHAI GANESHBHAI INDARIYA</t>
  </si>
  <si>
    <t>25-01-2027</t>
  </si>
  <si>
    <t>HUDKO DAM PASE, VADNAGAR, AT SURENDRA NAGAR, DIS SURENDRA NAGAR, GUJARAT, SURENDRANAGAR H.O,SURENDRA NAGAR GUJARAT,PIN- 363001</t>
  </si>
  <si>
    <t>GJ36X5803</t>
  </si>
  <si>
    <t>3379/04602577/000/00</t>
  </si>
  <si>
    <t>SIGNA 3530.TK - TIPPER BSVI</t>
  </si>
  <si>
    <t>JAYDEEP CHANDULAL BORICHA</t>
  </si>
  <si>
    <t>97265 02263</t>
  </si>
  <si>
    <t>01, AKSHAR DHAM PARK NEAR TRILOKDHAM TEMPLE , NAVLAKHI ROAD, MORBI, , ,, RAJKOT, MORBI,RAJKOT GUJARAT,PIN- 363641</t>
  </si>
  <si>
    <t>GJ03BZ7548</t>
  </si>
  <si>
    <t>3379/04602572/000/00</t>
  </si>
  <si>
    <t>3118 - SUPER BS IV</t>
  </si>
  <si>
    <t>CHANIYA ISMAIL ALARAKHABHAI</t>
  </si>
  <si>
    <t>N.PERMIT &amp;PUC</t>
  </si>
  <si>
    <t>VAGH PARA STREET NUMBER 4 MORVI MORBI MDG MORVI MORBI, GUJARAT,,,,, MORBI GIDC S.O,RAJKOT GUJARAT,PIN- 363641</t>
  </si>
  <si>
    <t>GJ03DM9333</t>
  </si>
  <si>
    <t>D249119906 / 26012026</t>
  </si>
  <si>
    <t>KHURESHI FARUK ILIYASBHAI</t>
  </si>
  <si>
    <t>MATVA VAS STREET NUMBER-2,VAJEPAR MAIN ROAD, NEAR,Rajkot-363641</t>
  </si>
  <si>
    <t>GJ36AD4239</t>
  </si>
  <si>
    <t>12-1806-0008888176-00</t>
  </si>
  <si>
    <t>HONDA SHINE</t>
  </si>
  <si>
    <t>Ashifbhai Jasubbhai Shekh</t>
  </si>
  <si>
    <t>98254 97127</t>
  </si>
  <si>
    <t>Lomjivan Park, Sheri No 1 Vavdi Road Morbi, Rajkot, Rajkot,, Rajkot,, Gujarat-363641</t>
  </si>
  <si>
    <t>28/01/2026</t>
  </si>
  <si>
    <t>213049/88/26/000040</t>
  </si>
  <si>
    <t>CLL</t>
  </si>
  <si>
    <t>M/S. SHAKTI ENTERPRISE</t>
  </si>
  <si>
    <t>C/O SHAKTI ENTERPRISE SHOP NO 119, FIRST FLOOR ANAND COMPLEX 8-A N H, MORBI PPW, RAJKOT, GUJARAT 363642 , MOBILE NO. 9825773334</t>
  </si>
  <si>
    <t>213049/88/26/000041</t>
  </si>
  <si>
    <t>C/O SHAKTI ENTERPRISE SHOP NO 119, FIRST FLOOR ANAND COMPLEX 8-A N H, MORBI PPW, RAJKOT, GUJARAT 363642</t>
  </si>
  <si>
    <t>GJ36V6050</t>
  </si>
  <si>
    <t>3379/04604233/000/00</t>
  </si>
  <si>
    <t>VIRENDRAKUMAR RAY</t>
  </si>
  <si>
    <t>28/1/2027</t>
  </si>
  <si>
    <t>MARUTI PARK AT PIPALI, TA MORBI, DISMORBI,MORBI,GUJARAT,, MORBI, MORBI,RAJKOT GUJARAT,PIN- 363641</t>
  </si>
  <si>
    <t>GJ36AJ3133</t>
  </si>
  <si>
    <t>Mr. Rauma Shahrukh Habibbhai</t>
  </si>
  <si>
    <t>75672 96147</t>
  </si>
  <si>
    <t>98792 73194</t>
  </si>
  <si>
    <t>26-03-2038</t>
  </si>
  <si>
    <t>Street No 4 Bhagvatipara Vavdi Road Morbi Morbi Rajkot - 363641,Gujarat</t>
  </si>
  <si>
    <t>GJ27TT5350</t>
  </si>
  <si>
    <t>3379/04604210/000/00</t>
  </si>
  <si>
    <t>INTRA V10 - BSVI</t>
  </si>
  <si>
    <t>SHIVKUMAR RAYSING YADAV</t>
  </si>
  <si>
    <t>C/395 UMIYANAGAR,B/H TAKSHASHILA SCHOOL,VASTRAL, AHMEDABAD,, VASTRAL S.O,AHMEDABAD GUJARAT,PIN- 382418</t>
  </si>
  <si>
    <t>GJ36V0983</t>
  </si>
  <si>
    <t>POCMVGC0100678495</t>
  </si>
  <si>
    <t>Mahindra &amp; Mahindra,Supro &amp; Mini Truck CNG</t>
  </si>
  <si>
    <t>Mr.IRSHAD ALIBHAI MATHAKIYA</t>
  </si>
  <si>
    <t>AT PIPALIYARAJ,AT PIPALIYA PAL,TAL WANKANER,Rajkot,Gujarat363621,India</t>
  </si>
  <si>
    <t>GJ03AU7191</t>
  </si>
  <si>
    <t>POCMVGC0100678343</t>
  </si>
  <si>
    <t>Atul Auto,ATUL SHAKTI &amp; Cargo SWB 6 HD</t>
  </si>
  <si>
    <t>.RAJ BAKERY PROP VAID MOHM TAIYABALI</t>
  </si>
  <si>
    <t>28-07-2025</t>
  </si>
  <si>
    <t>SHOP NO 39 ,VC PARA BH VOHRA DARGAH,SMASAN ROAD,Rajkot,Gujarat363641,India</t>
  </si>
  <si>
    <t>GJ36V8467</t>
  </si>
  <si>
    <t>POCMVGC0100678483</t>
  </si>
  <si>
    <t>Mr.ASHRAFSHA ABDULSHA FAKIR</t>
  </si>
  <si>
    <t>JAY SOMNATH KALIKA PLOT,MAIN ROAD NEAR SATAVARA ROAD,HOME NO 3,Rajkot,Gujarat363641,India</t>
  </si>
  <si>
    <t>GJ17UU7547</t>
  </si>
  <si>
    <t>3003/A/426319053/00/B00</t>
  </si>
  <si>
    <t>EICHER MOTOR TRUCKS EICHER PRO 1059</t>
  </si>
  <si>
    <t>GOHIL JAYESHBHAI MANSANGBHAI</t>
  </si>
  <si>
    <t>21-12-2024</t>
  </si>
  <si>
    <t>18-07-2026</t>
  </si>
  <si>
    <t>AT-OUT OF GATE SHIYANI POLE AMBALI VALI STREET, WADHWAN,SURENDRANAGAR, SURENDRANAGAR, GUJARAT 363030</t>
  </si>
  <si>
    <t>GJ03V8809</t>
  </si>
  <si>
    <t>3003/A/426316439/00/000</t>
  </si>
  <si>
    <t>ASHOK LEYLAND TANKER ALCO 1611 TANKER</t>
  </si>
  <si>
    <t>DEVENDRA CHANABHAI SAVALIYA</t>
  </si>
  <si>
    <t>DR</t>
  </si>
  <si>
    <t>VRINDAVAN SOC JAMNAGAR ROAD MADHAPAR DIST-RAJKOT, RAJKOT, GUJARAT 360006</t>
  </si>
  <si>
    <t>GJ36U8392</t>
  </si>
  <si>
    <t>213049/31/26/011074</t>
  </si>
  <si>
    <t>MR. KAILASH MASHARUBHAI VESARA</t>
  </si>
  <si>
    <t>16-06-2024</t>
  </si>
  <si>
    <t>19-06-2027</t>
  </si>
  <si>
    <t>11 KUMBHAR STREET BHAVPAR,TA MALIYA,,363660 , .-BHAVPAR , RAJKOT, GUJARAT - 363660 ,</t>
  </si>
  <si>
    <t>GJ36U7968</t>
  </si>
  <si>
    <t>213049/31/26/011072</t>
  </si>
  <si>
    <t>ATUL AUTO - RIK 3P 200 BI FUEL BS 6</t>
  </si>
  <si>
    <t>MR. MOYADA JAGDISHBHAI KARNABHAI</t>
  </si>
  <si>
    <t>CF&amp;HPT</t>
  </si>
  <si>
    <t>BELA RANGPAR RAJKOT , - RAJPARRAJKOT , RAJKOT, GUJARAT - 36364</t>
  </si>
  <si>
    <t>GJ10CH3013</t>
  </si>
  <si>
    <t>D249314879 / 27012026</t>
  </si>
  <si>
    <t>ACTIVA/3G</t>
  </si>
  <si>
    <t>IQBALBHAI SALEMANBHAI KAMORA</t>
  </si>
  <si>
    <t>19-05-2025</t>
  </si>
  <si>
    <t>UMIYA SOCIETY, KARIYA SOCIETY,PASE, VAVDI ROAD, MORBI,Rajkot-363641</t>
  </si>
  <si>
    <t>GJ36W3391</t>
  </si>
  <si>
    <t>213049/31/26/011071</t>
  </si>
  <si>
    <t>MR. DHARMENDRA RANCHHODBHAI NAGALA</t>
  </si>
  <si>
    <t>GAYATRINAGAR BEHIND SIDDHI VINAYAK, HOSPITAL MAHENDRANAGAR,, MORBI-GUJARAT-363642 , MAHENDRANAGAR , RAJKOT, GUJARAT - 363642</t>
  </si>
  <si>
    <t>GJ03DP3090</t>
  </si>
  <si>
    <t>201640040225708540200000</t>
  </si>
  <si>
    <t>HERO MOTOCORP/SPLENDOR PLUS/SELF DRUM ALLOY/Solo with Pillion</t>
  </si>
  <si>
    <t>HIREN RANCHHODBHAI BAR</t>
  </si>
  <si>
    <t>97 98 109 SAT HANUMAN SOC,LILAPAR ROAD,,GUJARAT,RAJKOT,LAJAI-363641</t>
  </si>
  <si>
    <t>GJ36T6379</t>
  </si>
  <si>
    <t>3379/04603143/000/00</t>
  </si>
  <si>
    <t>RATHOD RAMSIBHAI RANCHHODBHAI</t>
  </si>
  <si>
    <t xml:space="preserve">DC </t>
  </si>
  <si>
    <t>THORALA MORVI ,THORALA MORBI MDG GUJARAT INDIA RAJKOT GUJARAT,,,,, MORBI,RAJKOT GUJARAT,PIN- 363641</t>
  </si>
  <si>
    <t>29/1/2026</t>
  </si>
  <si>
    <t>GJ12AY4595</t>
  </si>
  <si>
    <t>POCMVGC0100678883</t>
  </si>
  <si>
    <t>Ashok Leyland,3116</t>
  </si>
  <si>
    <t>Mr.HARSHAD KARAMSHIBHAI VAMJA</t>
  </si>
  <si>
    <t>16-10-2030</t>
  </si>
  <si>
    <t>OPP BALMANDIR,SO ORDI,MORBI,Rajkot,Gujarat363642,India</t>
  </si>
  <si>
    <t>GJ10TY7020</t>
  </si>
  <si>
    <t>213049/31/26/011075</t>
  </si>
  <si>
    <t>MAHINDRA AND MAHINDRA - BOLERO NEO N8 BS6</t>
  </si>
  <si>
    <t>MR. HARISANG DEVJI JADEJA</t>
  </si>
  <si>
    <t>MEGHPAR, PADANA, , JAMNAGAR, GUJARAT, 361280 , PADANA , JAMNAGAR, GUJARAT - 36128</t>
  </si>
  <si>
    <t>GJ36V3086</t>
  </si>
  <si>
    <t>POCMVGC0100680448</t>
  </si>
  <si>
    <t>KAVAR INDUSTRIES</t>
  </si>
  <si>
    <t>27-02-2027</t>
  </si>
  <si>
    <t>PLOT NO. 1, NR. KRISHIV POLYPACK LLP,SURVEY NO. 105/ PAIKI 1/ PAIKI 2,NR. LAXMINAGAR VILLAGE, MORBI KANDLA HIGHWAY, AT. NAVA SADULKA,Rajkot,Gujarat363642,India</t>
  </si>
  <si>
    <t>GJ36V5530</t>
  </si>
  <si>
    <t>3379/04177452/000/01</t>
  </si>
  <si>
    <t>VIJAYKUMAR LALJIBHAI PRAJAPATI</t>
  </si>
  <si>
    <t>27-02-2029</t>
  </si>
  <si>
    <t>AT JUNA DEVALIYA TA HALVAD MORBI, DEVALIYA B.O,SURENDRA NAGAR GUJARAT,PIN- 363330</t>
  </si>
  <si>
    <t>GJ12FC4228</t>
  </si>
  <si>
    <t>3008/426488797/00/B00</t>
  </si>
  <si>
    <t>TRACTOR- USE ONLY FOR AGRICULTURE AND FORESTRY</t>
  </si>
  <si>
    <t>MANEK SARFARAZ RAFIKBHAI</t>
  </si>
  <si>
    <t>28/02/2026</t>
  </si>
  <si>
    <t>AT-KHOJA KHANA STREET, MALIYA, MORBI, RAJKOT, GUJARAT 363670</t>
  </si>
  <si>
    <t>GJ12AY3977</t>
  </si>
  <si>
    <t>P0026200007/4103/106457</t>
  </si>
  <si>
    <t>TATA LPT 2518 2518 TIPPER/TIPPER</t>
  </si>
  <si>
    <t>Mr RASUL DAUD VIRA</t>
  </si>
  <si>
    <t>29/1/2027</t>
  </si>
  <si>
    <t>30-01-2025</t>
  </si>
  <si>
    <t>31-01-2025</t>
  </si>
  <si>
    <t>249,VADA VISTAR ,OLD RAILWAY FATAK MALIYA RAJKOT GUJARAT 363670</t>
  </si>
  <si>
    <t>GJ03AT4952</t>
  </si>
  <si>
    <t>3003/A/426488565/00/000</t>
  </si>
  <si>
    <t>ZALA BHUPATSINH HEMATSINH</t>
  </si>
  <si>
    <t>31-07-2025</t>
  </si>
  <si>
    <t>23-12-2026</t>
  </si>
  <si>
    <t>AT-SHIV SHAKTI GAYATRI SOCIETY, NEAR DAYAMAY SCHOOL,SURENDRANAGAR, SURENDRANAGAR, GUJARAT 363001</t>
  </si>
  <si>
    <t>GJ36B8276</t>
  </si>
  <si>
    <t>Kaladiya Firadoshabhai Hanifbhai</t>
  </si>
  <si>
    <t>21-02-2032</t>
  </si>
  <si>
    <t>18-07-2024</t>
  </si>
  <si>
    <t>NEAR ZIN, GHACHIVAD, CHOTILA SURENDRA NAGAR Rajkot 363520, Gujarat</t>
  </si>
  <si>
    <t>GJ12AU5140</t>
  </si>
  <si>
    <t>3379/04605943/000/00</t>
  </si>
  <si>
    <t>ASIA MOTOR WORKS</t>
  </si>
  <si>
    <t>DIPAKBHAI GOVINDBHAI SODHA</t>
  </si>
  <si>
    <t>79/2 ROYAL PUSHPAK PARK, , - KHODIYAR COLONY , JAMNAGAR, GUJARAT, KHODIYAR COLONY S.O,JAMNAGAR GUJARAT,PIN- 361006</t>
  </si>
  <si>
    <t>GJ36T7480</t>
  </si>
  <si>
    <t>3379/04605937/000/00</t>
  </si>
  <si>
    <t>PRAVINBHAI RANABHAI KATARIYA</t>
  </si>
  <si>
    <t>21-02-2027</t>
  </si>
  <si>
    <t>LAJAI MORBI MORBI GUJARAT, MORBI,MORBI GUJARAT,PIN- 363641</t>
  </si>
  <si>
    <t>GJ13AX2855</t>
  </si>
  <si>
    <t>POCMVGC0100680813</t>
  </si>
  <si>
    <t>Mr.SAVJIBHAI JIVANBHAI PARMAR</t>
  </si>
  <si>
    <t>30-08-2026</t>
  </si>
  <si>
    <t>TA KANKAVATI,PO KANKAVATI,TA DHRANGADHRA,Surendra Nagar,Gujarat363310,India</t>
  </si>
  <si>
    <t>GJ36T7316</t>
  </si>
  <si>
    <t>213049/31/26/011095</t>
  </si>
  <si>
    <t>TATA MOTORS - LPT 1212 4200 MM CRX BS 4</t>
  </si>
  <si>
    <t>MR. SANJAYBHAI DHARAMSHIBHAI GAMBHA</t>
  </si>
  <si>
    <t>90164 37122</t>
  </si>
  <si>
    <t>99091 73677</t>
  </si>
  <si>
    <t>28-12-2027</t>
  </si>
  <si>
    <t>28-05-2030</t>
  </si>
  <si>
    <t>ZINZUDA, CHOTILA, MO 9016604143, SURENDRANAGAR-GUJARAT.363520 , CHOTILA , SURENDRA NAGAR, GUJARAT - 36352</t>
  </si>
  <si>
    <t>GJ10TV9939</t>
  </si>
  <si>
    <t xml:space="preserve">3003/A/426374925/00/000
</t>
  </si>
  <si>
    <t>SHIVAY PETROLEUM</t>
  </si>
  <si>
    <t>14-03-2027</t>
  </si>
  <si>
    <t>24-02-2030</t>
  </si>
  <si>
    <t>PROP KARMANBHA V MANEK GIDC ARAMBHADA,AT-SURAJKARADI,DIST-JAMNAGAR, JAMNAGAR, GUJARAT 361345</t>
  </si>
  <si>
    <t>30/1/2026</t>
  </si>
  <si>
    <t>GJ03EN8933</t>
  </si>
  <si>
    <t>201640040225708637800000</t>
  </si>
  <si>
    <t>BAJAJ/DISCOVER/100 ES/Solo with Pillion</t>
  </si>
  <si>
    <t>ASHOKBHAI HIRABHAI BHARVAD</t>
  </si>
  <si>
    <t>96246 44526</t>
  </si>
  <si>
    <t>23-07-2027</t>
  </si>
  <si>
    <t>BALMANDIR SAME,TRAJPAR KHARI MORBI,,GUJARAT,RAJKOT,BHADIYAD363642</t>
  </si>
  <si>
    <t>GJ36X0051</t>
  </si>
  <si>
    <t>3379/04607869/000/00</t>
  </si>
  <si>
    <t>SUNIL GHANSHYAMBHAI PORDIYA</t>
  </si>
  <si>
    <t>MAHARSHI RESIDENCY, PLOT N0 58 - HALVAD, PO: HALVAD, DIST: MORBI,, HALVAD S.O,SURENDRA NAGAR GUJARAT,PIN- 363330</t>
  </si>
  <si>
    <t>GJ01DU5096</t>
  </si>
  <si>
    <t>POCMVGC0100683631</t>
  </si>
  <si>
    <t>Ashok Leyland,2516</t>
  </si>
  <si>
    <t>Mr.GANDUBHAI JENTIBHAI SUMALKHANIYA</t>
  </si>
  <si>
    <t>31-10-2025</t>
  </si>
  <si>
    <t>29-07-2026</t>
  </si>
  <si>
    <t>27-11-2028</t>
  </si>
  <si>
    <t>HARIPAR KHARI,MOVIYA,PADDHARI,Rajkot,Gujarat360110,In dia</t>
  </si>
  <si>
    <t>GJ03BW5542</t>
  </si>
  <si>
    <t>POCMVGC0100683609</t>
  </si>
  <si>
    <t>Tata Motors,Ace &amp; XL BSIV</t>
  </si>
  <si>
    <t>Mr.MEET AMRUTLAL UNADKAT</t>
  </si>
  <si>
    <t>CF&amp;HPA</t>
  </si>
  <si>
    <t>24-08-2026</t>
  </si>
  <si>
    <t>ANPURNA MANDIR,JAM KANDORNA,DIST RAJKOT,Rajkot,Gujarat360405,India</t>
  </si>
  <si>
    <t>GJ36W4146</t>
  </si>
  <si>
    <t>POCMVGC0100683601</t>
  </si>
  <si>
    <t>Mr.VIJAYKUMAR MAYABHAI SATKA</t>
  </si>
  <si>
    <t>90165 87649</t>
  </si>
  <si>
    <t>18-12-2025</t>
  </si>
  <si>
    <t>18-12-2024</t>
  </si>
  <si>
    <t>HADMATIYA,TA TANKARA,MORBI,Rajkot,Gujarat363641,India</t>
  </si>
  <si>
    <t>GJ12BX5253</t>
  </si>
  <si>
    <t>213049/31/26/011124</t>
  </si>
  <si>
    <t>MAHINDRA AND MAHINDRA - BOLERO B4 BS 6</t>
  </si>
  <si>
    <t>MR. SANJAYSINH AGARSANG JADEJA</t>
  </si>
  <si>
    <t>29-09-2028</t>
  </si>
  <si>
    <t>MITHOI, RASANGPAR JAMNAGAR, MO 9913772111, JAMNAGAR-GUJARAT-361280 , RASANGPAR , JAMNAGAR, GUJARAT - 361280</t>
  </si>
  <si>
    <t>GJ03EC2880</t>
  </si>
  <si>
    <t>POPMCAR00102336847</t>
  </si>
  <si>
    <t>Hyundai,I20 &amp; 1.4 Asta Diesel</t>
  </si>
  <si>
    <t>Mr ROHIT MONABHAI GAMARA</t>
  </si>
  <si>
    <t>97127 19479</t>
  </si>
  <si>
    <t>28-07-2026</t>
  </si>
  <si>
    <t>LAXMI SOCIETY TRAJPAR, MORVI,MORBI, Rajkot, Gujarat 363642</t>
  </si>
  <si>
    <t>GJ03AT0421</t>
  </si>
  <si>
    <t>3003/A/426648020/00/B00</t>
  </si>
  <si>
    <t>BIPIN GORDHANBHAI MAJETHIYA</t>
  </si>
  <si>
    <t>TAX&amp;CF</t>
  </si>
  <si>
    <t>21-12-2021</t>
  </si>
  <si>
    <t>26-10-2023</t>
  </si>
  <si>
    <t>16-12-2026</t>
  </si>
  <si>
    <t>JAVAHAR SOCIETY BHADIYAD BHADIYAD PART RAJKOT, MORBI, GUJARAT 363642</t>
  </si>
  <si>
    <t>GJ36T8182</t>
  </si>
  <si>
    <t>3003/426647813/00/000</t>
  </si>
  <si>
    <t>PARMAR KANABHAI MANGABHAI</t>
  </si>
  <si>
    <t>BHARWAD WAS ANDARNA MORBI, MORBI, GUJARAT 363641</t>
  </si>
  <si>
    <t>GJ36V3405</t>
  </si>
  <si>
    <t>3003/426634225/00/000</t>
  </si>
  <si>
    <t>BOLERO PICK-UP FB PS 1.7T XL</t>
  </si>
  <si>
    <t>KHIRAIYA HEMANSHU SANJAYBHAI</t>
  </si>
  <si>
    <t>23-02-2027</t>
  </si>
  <si>
    <t>20-02-2030</t>
  </si>
  <si>
    <t>YAMUNA NAGAR STREET - 2, NAVALAKHI ROAD, MORBI, MORBI, GUJARAT 363641</t>
  </si>
  <si>
    <t>GJ36H1147</t>
  </si>
  <si>
    <t>2301101513379200000&gt;</t>
  </si>
  <si>
    <t>PULSAR-220 DTSI S</t>
  </si>
  <si>
    <t>Mr GULAMBHAI ISHABHAI MANEK</t>
  </si>
  <si>
    <t>24-05-2032</t>
  </si>
  <si>
    <t>MANEK VANDH, -, MALIYA MALIYA MIYANA RAJKOT - 363670 GUJARAT</t>
  </si>
  <si>
    <t>GJ36L2715</t>
  </si>
  <si>
    <t>POPMCAR00102335812</t>
  </si>
  <si>
    <t>Mahindra &amp; Mahindra,Scorpio &amp; S11 2WD</t>
  </si>
  <si>
    <t>Mr IMRANBHAI HUSHENBHAI KHOD</t>
  </si>
  <si>
    <t>98259 82715</t>
  </si>
  <si>
    <t>99794 44862</t>
  </si>
  <si>
    <t>Q 8 LATI PLOT 12 JONSNAGAR, AT MORBI TAL MORBI,MORBI, Rajkot, Gujarat 363641</t>
  </si>
  <si>
    <t>GJ12AR0433</t>
  </si>
  <si>
    <t>6204194832 01 00</t>
  </si>
  <si>
    <t>MAHINDRA &amp; MAHINDRA RA / BOLERO/CAMPER/GOLD VX</t>
  </si>
  <si>
    <t>JAYDEEP ASSOCIATES PVT LTD</t>
  </si>
  <si>
    <t>JAYDEEP HOUSE  SANALA ROAD MORBI GUJRAT MORBI-363641</t>
  </si>
  <si>
    <t>GJ12BZ5033</t>
  </si>
  <si>
    <t>3379/04606536/000/00</t>
  </si>
  <si>
    <t>ARJAN DAYABHAI DANGAR</t>
  </si>
  <si>
    <t>97250 36831</t>
  </si>
  <si>
    <t>99253 61971</t>
  </si>
  <si>
    <t>PLOT NO- 1/1766, MATHAK, ANJAR, KACHHA,,, ADIPUR S.O,KACHCHH GUJARAT,PIN- 370205</t>
  </si>
  <si>
    <t>GJ03AX8668</t>
  </si>
  <si>
    <t>132/01/17/0127/MTP/1010345415</t>
  </si>
  <si>
    <t>MAHINDRA AND MAHINDRA BOLERO CAMPER BOLERO CAMPER (FBV/2WD</t>
  </si>
  <si>
    <t>MR BHIMABHAI VEJABHAI CHIRODIYA</t>
  </si>
  <si>
    <t>198 BHARVAD VAS AT BAJRANGPUR, VERATIYA, JAMNAGAR, JAMNAGAR, GUJARAT, INDIA, Pincode : 361130</t>
  </si>
  <si>
    <t>GJ36V8545</t>
  </si>
  <si>
    <t>VGC1484414000100</t>
  </si>
  <si>
    <t>Ashok Leyland Ltd.</t>
  </si>
  <si>
    <t>Mr.AASIFBHAI YASINBHAI LOLADIYA</t>
  </si>
  <si>
    <t>15-05-2026</t>
  </si>
  <si>
    <t>17-07-2026</t>
  </si>
  <si>
    <t>NR ANNKSHETRA HALVAD SURENDRANAGAR MORBI GUJARAT 363330</t>
  </si>
  <si>
    <t>GJ13AW2388</t>
  </si>
  <si>
    <t>3379/04607868/000/00</t>
  </si>
  <si>
    <t>IRFANBHAI JIVABHAI SUMARA</t>
  </si>
  <si>
    <t>91062 33385</t>
  </si>
  <si>
    <t>99793 82695</t>
  </si>
  <si>
    <t>LAXMIPARA SERI NO 1 BHAGAR NA DELA SAME SURENDRANAGAR S SURENDRANAGAR GUJARAT INDIA , SURENDRA NAGAR , SURENDRA NAGAR, GUJARAT,,, SURENDRANAGAR H.O,SURENDRA NAGAR GUJARAT,PIN- 363001</t>
  </si>
  <si>
    <t>31/1/2026</t>
  </si>
  <si>
    <t>GJ36L4840</t>
  </si>
  <si>
    <t>132/01/11/0127/MTP/1010348078</t>
  </si>
  <si>
    <t>HYUNDAI GRAND I10 MAGNA 1.2</t>
  </si>
  <si>
    <t>MR JITESHKUMAR MAGANBHAI GAMI</t>
  </si>
  <si>
    <t>NEW PLOT AREA AT KHERVALIYA, TAL AND DI MORBI, RAJKOT, RAJKOT, GUJARAT, INDIA, Pincode : 363641</t>
  </si>
  <si>
    <t>GJ36T7241</t>
  </si>
  <si>
    <t>213049/31/26/011157</t>
  </si>
  <si>
    <t>MR. AVESH KHAMISHA MANEK</t>
  </si>
  <si>
    <t>28-01-2027</t>
  </si>
  <si>
    <t>KRISHNA PARK VAVDI ROAD MORVI OPP D,ARGAH,MORBI MORBI,MORBI,GUJARAT-363641 , MORBI , RAJKOT, GUJARAT - 36364</t>
  </si>
  <si>
    <t>GJ36W9200</t>
  </si>
  <si>
    <t>213049/31/26/011164</t>
  </si>
  <si>
    <t>MR. JAVED RAHIMBHAI GODHAVIYA</t>
  </si>
  <si>
    <t>26-02-2029</t>
  </si>
  <si>
    <t>KHANPAR, MORBI, , MORBI, GUJARAT, 363641 , KHANPARRAJKOT , RAJKOT, GUJARAT - 36364</t>
  </si>
  <si>
    <t>GJ36W1668</t>
  </si>
  <si>
    <t>213049/31/26/011165</t>
  </si>
  <si>
    <t>MR. PARMAR MANOJ NITINBHAI</t>
  </si>
  <si>
    <t>NAME TRANS.</t>
  </si>
  <si>
    <t>22-07-2029</t>
  </si>
  <si>
    <t>JANGLESHWER VISTAR, BHADIYAD, BHADIYAD, BHADIYAD (PART), RAJKOT, GUJARAT - 363642 , BHADIYAD , RAJKOT, GUJARAT - 3636</t>
  </si>
  <si>
    <t>GJ36V5547</t>
  </si>
  <si>
    <t>3003/426926679/00/B00</t>
  </si>
  <si>
    <t>PADALIYA HARDIKKUMAR VINODBHAI</t>
  </si>
  <si>
    <t>AT KHAREDA TA MORBI, MORBI, MORBI, GUJARAT 363641</t>
  </si>
  <si>
    <t>GJ36V7171</t>
  </si>
  <si>
    <t>3003/A/426926298/00/B00</t>
  </si>
  <si>
    <t>BOLERO CAMPER GOLD ZX</t>
  </si>
  <si>
    <t>GOGA JAYESHBHAI MANUBHAI</t>
  </si>
  <si>
    <t>GUJARI BAZAR BODICHAVAS, MORBI, GUJARAT 363641</t>
  </si>
  <si>
    <t>GJ36R8343</t>
  </si>
  <si>
    <t>POPMCAR00102341631</t>
  </si>
  <si>
    <t>Hyundai,Verna &amp; 1.6 CRDi SX (O)</t>
  </si>
  <si>
    <t>Mr VISHAL VALJIBHAI BHIT</t>
  </si>
  <si>
    <t>19-01-2035</t>
  </si>
  <si>
    <t>BH BALMANDIR AT MORBI, TA MORBI,MORBI, Rajkot, Gujarat 363641</t>
  </si>
  <si>
    <t>GJ36U6137</t>
  </si>
  <si>
    <t>213049/31/26/011166</t>
  </si>
  <si>
    <t>MR. MANDALIYA RAMESHBHAI GOKALBHAI</t>
  </si>
  <si>
    <t>MEMO</t>
  </si>
  <si>
    <t>26-12-2021</t>
  </si>
  <si>
    <t>30-12-2024</t>
  </si>
  <si>
    <t>BLOCK/NO/21, RAJ SOCIETY, SHRAMDEEP, -, MORBI, GUJARAT, 363642 , MORBI , RAJKOT, GUJARAT - 3636</t>
  </si>
  <si>
    <t>GJ03EL0572</t>
  </si>
  <si>
    <t>HYUNDAI MOTORS SANTRO</t>
  </si>
  <si>
    <t>MR.UBHADIYA HITESHBHAI GORDHANBHAI</t>
  </si>
  <si>
    <t>ZURICH</t>
  </si>
  <si>
    <t>14-05-2027</t>
  </si>
  <si>
    <t>AT MATHAK TAL HALWAD SURENDRANAGAR 363330</t>
  </si>
  <si>
    <t>GJ36AC2094</t>
  </si>
  <si>
    <t>12-1805-0008927478-00</t>
  </si>
  <si>
    <t>MARUTI EECO 5 STR AC</t>
  </si>
  <si>
    <t>Kamleshbhai Vasantlal Toparani</t>
  </si>
  <si>
    <t>26-08-2036</t>
  </si>
  <si>
    <t>Raghuvir Society Opp New , Bus Station Shanala Road Morbi,, Morbi 363641, , , Morbi,, Rajkot,, Gujarat-363641</t>
  </si>
  <si>
    <t>GJ13AW6667</t>
  </si>
  <si>
    <t>213049/31/26/011163</t>
  </si>
  <si>
    <t>EICHER - PRO 1114 XP HSD 19 FT NGB PRM 3755 MM BS 4</t>
  </si>
  <si>
    <t>MR. SATIYA VALABHAI SIMABHAI</t>
  </si>
  <si>
    <t>27-01-2030</t>
  </si>
  <si>
    <t>RAMDEVNAGAR , MULCHAND ROAD , WADHVAN , SURENDRANAGAR , GUJARAT - 363030 , WADHWANCITYSURENDRA NAGAR , SURENDRA NAGAR, GUJARAT - 363030 ,</t>
  </si>
  <si>
    <t>GJ36M8647</t>
  </si>
  <si>
    <t>12-1806-0008927423-00</t>
  </si>
  <si>
    <t>Devjibhai Merubhai Varaniya</t>
  </si>
  <si>
    <t>22-02-2025</t>
  </si>
  <si>
    <t>Sheri No.2, Trajpar, Morvi, Morbi Ppw, Rajkot, Rajkot,, Rajkot,, Gujarat-363642</t>
  </si>
  <si>
    <t>GJ10TX6154</t>
  </si>
  <si>
    <t>POCMVGC0100686260</t>
  </si>
  <si>
    <t>Mr.HUSHEN VALIMAMAD SODHA</t>
  </si>
  <si>
    <t>27-06-2024</t>
  </si>
  <si>
    <t>25-09-2028</t>
  </si>
  <si>
    <t>CHAMUNDA PLOT,AT DHROL,JAMNAGAR,Jamnagar,Gujarat361012,India</t>
  </si>
  <si>
    <t>GJ11VV2399</t>
  </si>
  <si>
    <t>213049/31/26/011159</t>
  </si>
  <si>
    <t>MR. MUKESHBHAI LAXMANBHAI BORICHA</t>
  </si>
  <si>
    <t>NAVA DARVAJA CHORVAD AT CHORWAD TAL MALIYA JUNAGADH GUJARAT 362250 , CHORVAD , JUNAGADH, GUJARAT - 362250</t>
  </si>
  <si>
    <t>GJ06BV9237</t>
  </si>
  <si>
    <t>213049/31/26/011158</t>
  </si>
  <si>
    <t>TATA MOTORS - LPT 1612 G DCR49CBC 125B6M6</t>
  </si>
  <si>
    <t>MR. MUKESHBHAI SHAMJIBHAI PARMAR</t>
  </si>
  <si>
    <t>27-08-2030</t>
  </si>
  <si>
    <t>97 PARVATI NAGAR, KARACHIYA ROAD, BAJWA, VADODARA, VADODARA, 391310 , KARCHIYA , VADODARA, GUJARAT - 3913</t>
  </si>
  <si>
    <t>GJ36B8559</t>
  </si>
  <si>
    <t>12-1805-0008918878-00</t>
  </si>
  <si>
    <t>HYUNDAI GRAND i10</t>
  </si>
  <si>
    <t>Govindbhai Chhaganbhai Dhavaniya</t>
  </si>
  <si>
    <t>98252 34837</t>
  </si>
  <si>
    <t>16-04-2032</t>
  </si>
  <si>
    <t>Block No 173 173 Ranchhod Nagar Morbi 1, , , Morbi,, Rajkot,, Gujarat-363641</t>
  </si>
  <si>
    <t>GJ36R8703</t>
  </si>
  <si>
    <t>AVO/2371/20015464</t>
  </si>
  <si>
    <t>MARUTI SUZUKI INDIA LTD EECO 5 STR AC</t>
  </si>
  <si>
    <t>Kashmani Karimbhai Satarbhai</t>
  </si>
  <si>
    <t>15-04-2036</t>
  </si>
  <si>
    <t>PLOT NO. 54, RAMPARK SOCIETY, VAVDI ROAD, Morvi, Morbi, MORVI,GUJARAT363641</t>
  </si>
  <si>
    <t>GJ36W0701</t>
  </si>
  <si>
    <t>213049/31/26/011199</t>
  </si>
  <si>
    <t>ALTAF SAMTANI</t>
  </si>
  <si>
    <t>91064 49719</t>
  </si>
  <si>
    <t>23-09-2025</t>
  </si>
  <si>
    <t>23-09-2024</t>
  </si>
  <si>
    <t>NEAR RELINCE TOWER V C PARA MADINA, SOCIETY, , MORBI, GUJARAT, 363641 , MORBI , RAJKOT, GUJARAT</t>
  </si>
  <si>
    <t>GJ10TY1453</t>
  </si>
  <si>
    <t>213049/31/26/011198</t>
  </si>
  <si>
    <t>AKUBHA RUPSANG JADEJA</t>
  </si>
  <si>
    <t>MITHOI, JAMNAGAR, , JAMNAGAR, GUJARAT, 361280 , PADANA , JAMNAGAR, GUJARAT</t>
  </si>
  <si>
    <t>GJ10BR0661</t>
  </si>
  <si>
    <t>POPMCAR00102346333</t>
  </si>
  <si>
    <t>Hyundai,I10 &amp; Magna</t>
  </si>
  <si>
    <t>AKHAI IDRISHBHAI RAJAKBHAI</t>
  </si>
  <si>
    <t>Madina Society V C Para , Morbi ,Morbi, Rajkot, Gujarat 363641</t>
  </si>
  <si>
    <t>GJ36W1307</t>
  </si>
  <si>
    <t>213049/31/26/011197</t>
  </si>
  <si>
    <t>CHAVADA KANJIBHAI ARJANBHAI</t>
  </si>
  <si>
    <t>14-12-2026</t>
  </si>
  <si>
    <t>21-11-2028</t>
  </si>
  <si>
    <t>01 PREMJINAGAR MAKANSAR MORBI , MORBIRAJKOT , RAJKOT, GUJARAT</t>
  </si>
  <si>
    <t>GJ36AF6643</t>
  </si>
  <si>
    <t>VPT1085223000100</t>
  </si>
  <si>
    <t>EECO 5 STR AC CNG BSVI - 5 Seater</t>
  </si>
  <si>
    <t>Mr LILAPARA BHUPATBHAI KAMABHAI</t>
  </si>
  <si>
    <t>SUNDAR, GADH, -, , , MB-Rajkot , MORBI, 363330, GUJARAT</t>
  </si>
  <si>
    <t>GJ03EL5131</t>
  </si>
  <si>
    <t>WAGON R</t>
  </si>
  <si>
    <t>Parghi Hamir</t>
  </si>
  <si>
    <t>16-08-2025</t>
  </si>
  <si>
    <t>S / O KARABHAI, JUNA NAGNA JUNA NAGNA, JUNA NAGNA Rajkot 361007, Gujarat</t>
  </si>
  <si>
    <t>GJ36V7223</t>
  </si>
  <si>
    <t>3379/04611508/000/00</t>
  </si>
  <si>
    <t>SIGNA 3525.TK - BSVI</t>
  </si>
  <si>
    <t>BOHARIYA SAKTESHBHAI NAGJIBHAI</t>
  </si>
  <si>
    <t>99791 30611</t>
  </si>
  <si>
    <t>81407 57264</t>
  </si>
  <si>
    <t>R/O AT TIKAR TA HALVAD DIST SURENDRANAGAR, HALVAD S.O,SURENDRA NAGAR</t>
  </si>
  <si>
    <t>GJ36W7028</t>
  </si>
  <si>
    <t>213049/31/26/011196</t>
  </si>
  <si>
    <t>ASHVINBHAI GOVINDBHAI SAVARIYA</t>
  </si>
  <si>
    <t>31-01-2027</t>
  </si>
  <si>
    <t>JUNAGAM, MAHENDRANAGAR,, MORBI-GUJARAT-363642 , MAHENDRANAGAR , RAJKOT, GUJARAT</t>
  </si>
  <si>
    <t>GJ36V6470</t>
  </si>
  <si>
    <t>3379/04260334/000/01</t>
  </si>
  <si>
    <t>ABDUL HASAM KATIYA</t>
  </si>
  <si>
    <t>30-01-2028</t>
  </si>
  <si>
    <t>25-02-2029</t>
  </si>
  <si>
    <t>NR. TA. SHA, MALIYA,, MALIYA MIYANA S.O,RAJKOT</t>
  </si>
  <si>
    <t>GJ10TT7696</t>
  </si>
  <si>
    <t>3003/427044390/00/000</t>
  </si>
  <si>
    <t>BOLERO CAMPER DC</t>
  </si>
  <si>
    <t xml:space="preserve">Jaydeep </t>
  </si>
  <si>
    <t>15-02-2026</t>
  </si>
  <si>
    <t>MALIYA, AT VAVANIYA, TA MORBI, MORBI, GUJARAT 363641</t>
  </si>
  <si>
    <t>GJ03HC7155</t>
  </si>
  <si>
    <t>D250116523 / 31012026</t>
  </si>
  <si>
    <t>SPLENDOR PLUS/SELF ALLOY BS VI</t>
  </si>
  <si>
    <t>MAHMADIRSHAD HUSENBHAI PITHADIYA</t>
  </si>
  <si>
    <t>99048 90790</t>
  </si>
  <si>
    <t>24-08-2029</t>
  </si>
  <si>
    <t>MAHAMADI MANZIL, EID MASJID,ROAD, BEHIND OLD BUS STAND,Rajkot-363641</t>
  </si>
  <si>
    <t>GJ36AL0918</t>
  </si>
  <si>
    <t>202540020125790058600000</t>
  </si>
  <si>
    <t>HYUNDAI/CRE TA/EX (O) 1.5 DIESEL</t>
  </si>
  <si>
    <t>VISHALKUMAR CHANDULAL LOKHIL</t>
  </si>
  <si>
    <t>NEAR RAMJI TEMPLE, VENASAR, VENASAR, RAJKOT, GUJARAT, 363630 RAJKOT GUJARAT 363630</t>
  </si>
  <si>
    <t>GJ03AX7371</t>
  </si>
  <si>
    <t>POCMVGC0100688669</t>
  </si>
  <si>
    <t>Tata Motors,SUPER ACE &amp; 2180 GVW</t>
  </si>
  <si>
    <t>Mr.AAMIRKHAN YUNUSHBHAI PIPARVADIYA</t>
  </si>
  <si>
    <t>Sindhavadar,Tal Wankaner,Morbi,Rajkot,Gujarat363621,India</t>
  </si>
  <si>
    <t>GJ36V0846</t>
  </si>
  <si>
    <t>3379/04611869/000/00</t>
  </si>
  <si>
    <t>YODHA - 1200 BSVI</t>
  </si>
  <si>
    <t>RAJDEEPSINH GUMANSINH ZALA</t>
  </si>
  <si>
    <t>23-11-2023</t>
  </si>
  <si>
    <t>NAZARBAUG RAILWAY STATION,SCIENCE COLLEGE VIDYANAGAR SOC,MORBI,GUJARAT,,, MORBI PPW S.O,RAJKOT</t>
  </si>
  <si>
    <t>GJ10TX8654</t>
  </si>
  <si>
    <t>213049/31/26/011211</t>
  </si>
  <si>
    <t>MARUTI SUZUKI - WAGON R LXI CNG (O)</t>
  </si>
  <si>
    <t>ANANDBHAI JAGDISHBHAI VAGHELA</t>
  </si>
  <si>
    <t>BHIM VAS 2 NO 2 , JUNA RAILWAY STATION PACHAD,JAMNAGAR, JAMNAGAR -361001 , JAMNAGAR , JAMNAGAR, GUJARAT</t>
  </si>
  <si>
    <t>GJ36V1227</t>
  </si>
  <si>
    <t>3379/04612775/000/00</t>
  </si>
  <si>
    <t>PIYUSHBHAI ASHOKBHAI KHAKHKHAR</t>
  </si>
  <si>
    <t>TULSHISHYAM TEMPLE STREET KHAKHRECHI MORBI GUJARAT, MORBI,, MORBI,RAJKOT</t>
  </si>
  <si>
    <t>GJ01KT7425</t>
  </si>
  <si>
    <t>POCMVGC0100690593</t>
  </si>
  <si>
    <t>Mahindra &amp; Mahindra,Supro &amp; Profittruck Mini VX - 1950</t>
  </si>
  <si>
    <t>MAHEMUDHUSEN NOORMOHAMED SHAIKH</t>
  </si>
  <si>
    <t>560 NR HAJI BUILDING,JAMALPUR CHAKLA,RAIKHAD,Ahmedabad,Gujarat380001,India</t>
  </si>
  <si>
    <t>GJ36V0955</t>
  </si>
  <si>
    <t>2315 2081 9932 5300 000</t>
  </si>
  <si>
    <t>MR FULTARIYA ASHOK AMARASHI</t>
  </si>
  <si>
    <t>26-09-2026</t>
  </si>
  <si>
    <t>SO AMARASHI 0 VALASAN WANKANER VALASAN RAJKOT GUJARAT RAJKOT RAJKOT GUJARAT 363621</t>
  </si>
  <si>
    <t>GJ10TY1043</t>
  </si>
  <si>
    <t>213049/31/26/011218</t>
  </si>
  <si>
    <t>DIGUBHA DILUBHA CHUDASAMA</t>
  </si>
  <si>
    <t>11 GIRLS SCHOOL STREET NAVAGAM, LALPUR,, JAMNAGAR-GUJARAT-361006 , NAVAGAM , JAMNAGAR, GUJARAT</t>
  </si>
  <si>
    <t>GJ02XX5670</t>
  </si>
  <si>
    <t>3379/04613357/000/00</t>
  </si>
  <si>
    <t>LPT 3118 - TC TIPPER</t>
  </si>
  <si>
    <t>BORICHA AJITBHAI SUKHABHAI</t>
  </si>
  <si>
    <t>25-11-2025</t>
  </si>
  <si>
    <t>29-02-2028</t>
  </si>
  <si>
    <t>JUNA NAGDAVAS JUNA NAGDAVAS RAJKOT,, MALIYA MIYANA S.O,RAJKOT</t>
  </si>
  <si>
    <t>GJ36T5649</t>
  </si>
  <si>
    <t>3004/427271136/00/000</t>
  </si>
  <si>
    <t>BUS</t>
  </si>
  <si>
    <t>C2(A) - 4 OR MORE WHEELED VEHICLE WITH CARRYING CAPACITY EXCEEDING 6 PASSENGERS</t>
  </si>
  <si>
    <t>AJANTA LLP</t>
  </si>
  <si>
    <t>AJANTA</t>
  </si>
  <si>
    <t>21/02/2027</t>
  </si>
  <si>
    <t>AT-ORPAT INDUSTRIAL ESTATE MORBI RAJKOT HIGHWAY AT MORBI, MORBI, GUJARAT 363641</t>
  </si>
  <si>
    <t>GJ36T9164</t>
  </si>
  <si>
    <t>3004/427271141/00/000</t>
  </si>
  <si>
    <t>15-02-2027</t>
  </si>
  <si>
    <t>AT-ORPAT INDUSTRIAL ESTATE, RAJKOT HIGHWAY AT VIRPAR,MORBI, MORBI, GUJARAT 363641</t>
  </si>
  <si>
    <t>GJ36T5772</t>
  </si>
  <si>
    <t>3004/427271139/00/000</t>
  </si>
  <si>
    <t>GJ36T9691</t>
  </si>
  <si>
    <t>3004/427271138/00/000</t>
  </si>
  <si>
    <t>15-03-2027</t>
  </si>
  <si>
    <t>POCMVGC0100694106</t>
  </si>
  <si>
    <t>Mr.SANJAY RANCHHODBHAI KHAMBHALA</t>
  </si>
  <si>
    <t>LILAPAR,LILAPAR,MORBI,Rajkot,Gujarat363641,Indi a</t>
  </si>
  <si>
    <t>GJ36T5751</t>
  </si>
  <si>
    <t>3004/427436732/00/000</t>
  </si>
  <si>
    <t>GJ36T5839</t>
  </si>
  <si>
    <t>3004/427436738/00/000</t>
  </si>
  <si>
    <t>AT-ORPAT INDUSTRIAL ESTATE MORBI RAJKOT HIGHWAY AT- MORBI, MORBI, GUJARAT 363641</t>
  </si>
  <si>
    <t>GJ36T9112</t>
  </si>
  <si>
    <t>3004/427436736/00/000</t>
  </si>
  <si>
    <t>GJ36T5961</t>
  </si>
  <si>
    <t>3004/427436734/00/000</t>
  </si>
  <si>
    <t>AT-ORPAT INDUSTRIAL ESTATE MORBI RAJKOT HIGHWAY AT- MORBI, ANAND, GUJARAT 388320</t>
  </si>
  <si>
    <t>GJ01RC9780</t>
  </si>
  <si>
    <t>D250804416 / 04022026</t>
  </si>
  <si>
    <t>HYUNDAI</t>
  </si>
  <si>
    <t>YUVRAJSINH JETHVA</t>
  </si>
  <si>
    <t>14-11-2028</t>
  </si>
  <si>
    <t>S / O, CHANDR SAMATSANG,JETHAVA, MOTI KHAVDI, MOTI,Jamnagar-361140</t>
  </si>
  <si>
    <t>GJ36W9282</t>
  </si>
  <si>
    <t>0604003125P117219288</t>
  </si>
  <si>
    <t>MR DANGAR SHAILESHBHAI RANABHAI</t>
  </si>
  <si>
    <t>97274 88022</t>
  </si>
  <si>
    <t>CF &amp;HPC</t>
  </si>
  <si>
    <t>AT-VIDHUTINAGAR SARKITHOUSE SAME, PPW MORBI</t>
  </si>
  <si>
    <t>GJ36U9316</t>
  </si>
  <si>
    <t>213049/31/26/011282</t>
  </si>
  <si>
    <t>MR. MOD AKABARBHAI SALEMANBHAI</t>
  </si>
  <si>
    <t>30-11-2030</t>
  </si>
  <si>
    <t>MOTA KHIJADIYA, MOTA KHIJADIYA, TANKARA, RAJKOT, GUJARAT, 363650 , MOTA KHIJADIA , RAJKOT, GUJARAT - 36365</t>
  </si>
  <si>
    <t>GJ36V3113</t>
  </si>
  <si>
    <t>3379/04260428/000/01</t>
  </si>
  <si>
    <t>BADA DOST - I4</t>
  </si>
  <si>
    <t>RANCHHODBHAI DEVABHAI KHIT</t>
  </si>
  <si>
    <t>LAXMINAGAR SOCIETY MORBI MORBI MORBI GUJARAT 363642, MORBI PPW S.O,RAJKOT GUJARAT,PIN- 363642</t>
  </si>
  <si>
    <t>GJ36T9105</t>
  </si>
  <si>
    <t>POCMVGC0100694319</t>
  </si>
  <si>
    <t>Mr.GHANSHYAMBHAI KAMABHAI DALVAD</t>
  </si>
  <si>
    <t>14-09-2026</t>
  </si>
  <si>
    <t>Ghanshyampur,Halvad,Morbi,Surendra Nagar,Gujarat363330,India</t>
  </si>
  <si>
    <t>GJ10X3226</t>
  </si>
  <si>
    <t>3003/A/427813218/00/B00</t>
  </si>
  <si>
    <t>JADEJA DHARMENDRASINH KANAKSINH</t>
  </si>
  <si>
    <t>KHOKHARI KANAKPUR PADDHARI, RAJKOT, GUJARAT 360110</t>
  </si>
  <si>
    <t>GJ03BT1015</t>
  </si>
  <si>
    <t>132/01/17/0227/MTP/1010356737</t>
  </si>
  <si>
    <t>MAHINDRA AND MAHINDRA BOLERO PICK UP BOLERO PICK-UP</t>
  </si>
  <si>
    <t>MRS KIRANBEN GHANSHYAMBHAI KATHRANI</t>
  </si>
  <si>
    <t>18-06-2026</t>
  </si>
  <si>
    <t>GOVIND BHUVAN MAHENDRAPARA 2, NEAR SUPER TOQUIES MORBI, RAJKOT, RAJKOT, GUJARAT, INDIA, Pincode : 363641</t>
  </si>
  <si>
    <t>GJ06AZ6215</t>
  </si>
  <si>
    <t>213049/31/26/011297</t>
  </si>
  <si>
    <t>TATA MOTORS - LPS 4018 SIGNA TEL 32 WB BS 4</t>
  </si>
  <si>
    <t>17-02-2027</t>
  </si>
  <si>
    <t>25-10-2028</t>
  </si>
  <si>
    <t>OPP SHIV SHAKTI PIPE, PLOT NO 3 P,, SHOP NO 119 FIRST FLOOR, ANAND COMP, 8 A NH, NAVA SADU , SADULKANAVA , RAJKOT, GUJARAT - 36</t>
  </si>
  <si>
    <t>GJ06AZ6272</t>
  </si>
  <si>
    <t>213049/31/26/011296</t>
  </si>
  <si>
    <t>OPP SHIV SHAKTI PIPE, PLOT NO 3 P. SHOP NO 119 FIRST FLOOR ANAND COMP, 8 A NH NAVA SADULKA , SADULKANAVA , RAJKOT, GUJARAT - 363</t>
  </si>
  <si>
    <t>GJ36V1353</t>
  </si>
  <si>
    <t>POCMVGC0100701122</t>
  </si>
  <si>
    <t>Mr.ELIYASH GAFARBHAI HERANJA</t>
  </si>
  <si>
    <t>20-06-2026</t>
  </si>
  <si>
    <t>At Lajai,Morbi,Gujarat,Rajkot,Gujarat363641,India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</si>
</sst>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m-dd-yyyy"/>
    <numFmt numFmtId="166" formatCode="m-d-yyyy"/>
    <numFmt numFmtId="167" formatCode="m/d/yyyy"/>
  </numFmts>
  <fonts count="7">
    <font>
      <sz val="10.0"/>
      <color rgb="FF000000"/>
      <name val="Arial"/>
      <scheme val="minor"/>
    </font>
    <font>
      <b/>
      <sz val="14.0"/>
      <color rgb="FF351C75"/>
      <name val="Arial"/>
    </font>
    <font>
      <b/>
      <sz val="9.0"/>
      <color rgb="FF351C75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right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4" numFmtId="0" xfId="0" applyBorder="1" applyFont="1"/>
    <xf borderId="1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3" numFmtId="165" xfId="0" applyAlignment="1" applyBorder="1" applyFont="1" applyNumberFormat="1">
      <alignment horizontal="center" vertical="bottom"/>
    </xf>
    <xf borderId="1" fillId="0" fontId="3" numFmtId="4" xfId="0" applyAlignment="1" applyBorder="1" applyFont="1" applyNumberFormat="1">
      <alignment horizontal="center" vertical="bottom"/>
    </xf>
    <xf borderId="1" fillId="0" fontId="3" numFmtId="3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4" numFmtId="165" xfId="0" applyAlignment="1" applyBorder="1" applyFont="1" applyNumberFormat="1">
      <alignment horizontal="center" readingOrder="0"/>
    </xf>
    <xf borderId="1" fillId="0" fontId="4" numFmtId="4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166" xfId="0" applyAlignment="1" applyBorder="1" applyFont="1" applyNumberFormat="1">
      <alignment horizontal="center" readingOrder="0"/>
    </xf>
    <xf borderId="1" fillId="3" fontId="4" numFmtId="0" xfId="0" applyAlignment="1" applyBorder="1" applyFill="1" applyFont="1">
      <alignment readingOrder="0"/>
    </xf>
    <xf borderId="1" fillId="3" fontId="3" numFmtId="164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left" readingOrder="0"/>
    </xf>
    <xf borderId="1" fillId="3" fontId="4" numFmtId="0" xfId="0" applyAlignment="1" applyBorder="1" applyFont="1">
      <alignment horizontal="center" readingOrder="0"/>
    </xf>
    <xf borderId="1" fillId="3" fontId="4" numFmtId="164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4" numFmtId="165" xfId="0" applyAlignment="1" applyBorder="1" applyFont="1" applyNumberFormat="1">
      <alignment horizontal="center" readingOrder="0"/>
    </xf>
    <xf borderId="1" fillId="3" fontId="4" numFmtId="4" xfId="0" applyAlignment="1" applyBorder="1" applyFont="1" applyNumberFormat="1">
      <alignment horizontal="center" readingOrder="0"/>
    </xf>
    <xf borderId="1" fillId="3" fontId="3" numFmtId="4" xfId="0" applyAlignment="1" applyBorder="1" applyFont="1" applyNumberFormat="1">
      <alignment horizontal="center" vertical="bottom"/>
    </xf>
    <xf borderId="1" fillId="4" fontId="4" numFmtId="0" xfId="0" applyAlignment="1" applyBorder="1" applyFill="1" applyFont="1">
      <alignment readingOrder="0"/>
    </xf>
    <xf borderId="1" fillId="4" fontId="3" numFmtId="164" xfId="0" applyAlignment="1" applyBorder="1" applyFont="1" applyNumberFormat="1">
      <alignment horizontal="center" readingOrder="0" vertical="bottom"/>
    </xf>
    <xf borderId="1" fillId="4" fontId="4" numFmtId="0" xfId="0" applyAlignment="1" applyBorder="1" applyFont="1">
      <alignment horizontal="center" readingOrder="0"/>
    </xf>
    <xf borderId="1" fillId="4" fontId="4" numFmtId="164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 shrinkToFit="0" vertical="bottom" wrapText="1"/>
    </xf>
    <xf borderId="1" fillId="4" fontId="4" numFmtId="166" xfId="0" applyAlignment="1" applyBorder="1" applyFont="1" applyNumberFormat="1">
      <alignment horizontal="center" readingOrder="0"/>
    </xf>
    <xf borderId="1" fillId="4" fontId="4" numFmtId="4" xfId="0" applyAlignment="1" applyBorder="1" applyFont="1" applyNumberFormat="1">
      <alignment horizontal="center" readingOrder="0"/>
    </xf>
    <xf borderId="1" fillId="3" fontId="4" numFmtId="166" xfId="0" applyAlignment="1" applyBorder="1" applyFont="1" applyNumberFormat="1">
      <alignment horizontal="center" readingOrder="0"/>
    </xf>
    <xf borderId="1" fillId="4" fontId="4" numFmtId="165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center" vertical="bottom"/>
    </xf>
    <xf borderId="1" fillId="4" fontId="3" numFmtId="4" xfId="0" applyAlignment="1" applyBorder="1" applyFont="1" applyNumberFormat="1">
      <alignment horizontal="center" vertical="bottom"/>
    </xf>
    <xf borderId="1" fillId="5" fontId="4" numFmtId="4" xfId="0" applyAlignment="1" applyBorder="1" applyFill="1" applyFont="1" applyNumberFormat="1">
      <alignment horizontal="center" readingOrder="0"/>
    </xf>
    <xf borderId="1" fillId="0" fontId="5" numFmtId="0" xfId="0" applyAlignment="1" applyBorder="1" applyFont="1">
      <alignment readingOrder="0"/>
    </xf>
    <xf borderId="1" fillId="4" fontId="4" numFmtId="3" xfId="0" applyAlignment="1" applyBorder="1" applyFont="1" applyNumberFormat="1">
      <alignment horizontal="center" readingOrder="0"/>
    </xf>
    <xf borderId="1" fillId="4" fontId="3" numFmtId="3" xfId="0" applyAlignment="1" applyBorder="1" applyFont="1" applyNumberFormat="1">
      <alignment horizontal="center" vertical="bottom"/>
    </xf>
    <xf borderId="1" fillId="5" fontId="4" numFmtId="164" xfId="0" applyAlignment="1" applyBorder="1" applyFont="1" applyNumberFormat="1">
      <alignment readingOrder="0"/>
    </xf>
    <xf borderId="1" fillId="0" fontId="4" numFmtId="167" xfId="0" applyAlignment="1" applyBorder="1" applyFont="1" applyNumberFormat="1">
      <alignment horizontal="center" readingOrder="0"/>
    </xf>
    <xf borderId="1" fillId="5" fontId="4" numFmtId="0" xfId="0" applyAlignment="1" applyBorder="1" applyFont="1">
      <alignment horizontal="center" readingOrder="0"/>
    </xf>
    <xf borderId="1" fillId="4" fontId="4" numFmtId="167" xfId="0" applyAlignment="1" applyBorder="1" applyFont="1" applyNumberFormat="1">
      <alignment horizontal="center" readingOrder="0"/>
    </xf>
    <xf borderId="1" fillId="4" fontId="4" numFmtId="0" xfId="0" applyAlignment="1" applyBorder="1" applyFont="1">
      <alignment horizontal="left" readingOrder="0"/>
    </xf>
    <xf borderId="1" fillId="5" fontId="4" numFmtId="4" xfId="0" applyAlignment="1" applyBorder="1" applyFont="1" applyNumberFormat="1">
      <alignment readingOrder="0"/>
    </xf>
    <xf borderId="1" fillId="3" fontId="4" numFmtId="0" xfId="0" applyAlignment="1" applyBorder="1" applyFont="1">
      <alignment horizontal="right" readingOrder="0"/>
    </xf>
    <xf borderId="1" fillId="3" fontId="3" numFmtId="0" xfId="0" applyAlignment="1" applyBorder="1" applyFont="1">
      <alignment horizontal="center" vertical="bottom"/>
    </xf>
    <xf borderId="1" fillId="3" fontId="3" numFmtId="3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readingOrder="0"/>
    </xf>
    <xf borderId="1" fillId="4" fontId="4" numFmtId="0" xfId="0" applyAlignment="1" applyBorder="1" applyFont="1">
      <alignment horizontal="center"/>
    </xf>
    <xf borderId="1" fillId="6" fontId="4" numFmtId="0" xfId="0" applyAlignment="1" applyBorder="1" applyFill="1" applyFont="1">
      <alignment readingOrder="0"/>
    </xf>
    <xf borderId="1" fillId="0" fontId="6" numFmtId="3" xfId="0" applyAlignment="1" applyBorder="1" applyFont="1" applyNumberFormat="1">
      <alignment horizontal="center" vertical="bottom"/>
    </xf>
    <xf borderId="1" fillId="0" fontId="4" numFmtId="4" xfId="0" applyAlignment="1" applyBorder="1" applyFont="1" applyNumberFormat="1">
      <alignment readingOrder="0"/>
    </xf>
    <xf borderId="1" fillId="4" fontId="4" numFmtId="4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" xfId="0" applyAlignment="1" applyFont="1" applyNumberFormat="1">
      <alignment horizontal="center" readingOrder="0"/>
    </xf>
    <xf borderId="0" fillId="4" fontId="4" numFmtId="0" xfId="0" applyAlignment="1" applyFont="1">
      <alignment readingOrder="0"/>
    </xf>
    <xf borderId="0" fillId="4" fontId="4" numFmtId="4" xfId="0" applyAlignment="1" applyFont="1" applyNumberFormat="1">
      <alignment horizontal="center" readingOrder="0"/>
    </xf>
    <xf borderId="0" fillId="7" fontId="4" numFmtId="4" xfId="0" applyAlignment="1" applyFill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4" xfId="0" applyAlignment="1" applyFont="1" applyNumberFormat="1">
      <alignment readingOrder="0"/>
    </xf>
    <xf borderId="1" fillId="0" fontId="4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25"/>
    <col customWidth="1" min="2" max="2" width="11.5"/>
    <col customWidth="1" min="3" max="3" width="12.75"/>
    <col customWidth="1" min="4" max="4" width="23.75"/>
    <col customWidth="1" min="5" max="5" width="7.13"/>
    <col customWidth="1" min="6" max="6" width="27.5"/>
    <col customWidth="1" min="7" max="7" width="30.25"/>
    <col customWidth="1" min="8" max="8" width="11.13"/>
    <col customWidth="1" min="9" max="9" width="11.25"/>
    <col customWidth="1" min="10" max="10" width="10.88"/>
    <col customWidth="1" min="11" max="11" width="6.63"/>
    <col customWidth="1" min="12" max="12" width="10.13"/>
    <col customWidth="1" min="13" max="13" width="11.0"/>
    <col customWidth="1" min="14" max="14" width="15.63"/>
    <col customWidth="1" min="15" max="15" width="4.88"/>
    <col customWidth="1" min="16" max="16" width="5.75"/>
    <col customWidth="1" min="17" max="17" width="8.13"/>
    <col customWidth="1" min="18" max="18" width="10.88"/>
    <col customWidth="1" min="19" max="19" width="9.75"/>
    <col customWidth="1" min="20" max="20" width="10.13"/>
    <col customWidth="1" min="21" max="21" width="6.88"/>
    <col customWidth="1" min="22" max="22" width="10.75"/>
    <col customWidth="1" min="23" max="23" width="11.0"/>
    <col customWidth="1" min="24" max="24" width="9.63"/>
    <col customWidth="1" min="25" max="25" width="12.88"/>
    <col customWidth="1" min="26" max="27" width="14.38"/>
    <col customWidth="1" min="29" max="29" width="115.63"/>
  </cols>
  <sheetData>
    <row r="1" ht="40.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5" t="s">
        <v>25</v>
      </c>
      <c r="AA1" s="6" t="s">
        <v>26</v>
      </c>
      <c r="AB1" s="2" t="s">
        <v>27</v>
      </c>
      <c r="AC1" s="2" t="s">
        <v>28</v>
      </c>
    </row>
    <row r="2">
      <c r="A2" s="7"/>
      <c r="B2" s="8"/>
      <c r="C2" s="9"/>
      <c r="D2" s="9"/>
      <c r="E2" s="10"/>
      <c r="F2" s="9"/>
      <c r="G2" s="9"/>
      <c r="H2" s="10"/>
      <c r="I2" s="10"/>
      <c r="J2" s="10"/>
      <c r="K2" s="10"/>
      <c r="L2" s="11"/>
      <c r="M2" s="10"/>
      <c r="N2" s="12"/>
      <c r="O2" s="10"/>
      <c r="P2" s="10"/>
      <c r="Q2" s="10"/>
      <c r="R2" s="13"/>
      <c r="S2" s="13"/>
      <c r="T2" s="10"/>
      <c r="U2" s="10"/>
      <c r="V2" s="14"/>
      <c r="W2" s="14"/>
      <c r="X2" s="10"/>
      <c r="Y2" s="10"/>
      <c r="Z2" s="14"/>
      <c r="AA2" s="15"/>
      <c r="AB2" s="10"/>
      <c r="AC2" s="16"/>
    </row>
    <row r="3">
      <c r="A3" s="17">
        <v>1.0</v>
      </c>
      <c r="B3" s="8">
        <v>46054.0</v>
      </c>
      <c r="C3" s="17" t="s">
        <v>29</v>
      </c>
      <c r="D3" s="18">
        <v>9.00924083E8</v>
      </c>
      <c r="E3" s="19" t="s">
        <v>30</v>
      </c>
      <c r="F3" s="17" t="s">
        <v>31</v>
      </c>
      <c r="G3" s="17" t="s">
        <v>32</v>
      </c>
      <c r="H3" s="19">
        <v>9.824207902E9</v>
      </c>
      <c r="I3" s="19">
        <v>9.033333157E9</v>
      </c>
      <c r="J3" s="19" t="s">
        <v>33</v>
      </c>
      <c r="K3" s="19">
        <v>1197.0</v>
      </c>
      <c r="L3" s="20">
        <v>46388.0</v>
      </c>
      <c r="M3" s="19" t="s">
        <v>34</v>
      </c>
      <c r="N3" s="21" t="s">
        <v>35</v>
      </c>
      <c r="O3" s="19" t="s">
        <v>36</v>
      </c>
      <c r="P3" s="19" t="s">
        <v>37</v>
      </c>
      <c r="Q3" s="17" t="s">
        <v>38</v>
      </c>
      <c r="R3" s="22">
        <v>50771.0</v>
      </c>
      <c r="S3" s="22">
        <v>45658.0</v>
      </c>
      <c r="T3" s="19" t="s">
        <v>33</v>
      </c>
      <c r="U3" s="19" t="s">
        <v>33</v>
      </c>
      <c r="V3" s="23">
        <v>9499.08</v>
      </c>
      <c r="W3" s="23">
        <v>11209.0</v>
      </c>
      <c r="X3" s="19">
        <v>11239.0</v>
      </c>
      <c r="Y3" s="19">
        <v>11000.0</v>
      </c>
      <c r="Z3" s="14">
        <f t="shared" ref="Z3:Z428" si="1">W3-Y3</f>
        <v>209</v>
      </c>
      <c r="AA3" s="15">
        <f t="shared" ref="AA3:AA432" si="2">Y3-X3</f>
        <v>-239</v>
      </c>
      <c r="AB3" s="19" t="s">
        <v>39</v>
      </c>
      <c r="AC3" s="17" t="s">
        <v>40</v>
      </c>
    </row>
    <row r="4">
      <c r="A4" s="17">
        <v>2.0</v>
      </c>
      <c r="B4" s="8">
        <v>46054.0</v>
      </c>
      <c r="C4" s="17" t="s">
        <v>41</v>
      </c>
      <c r="D4" s="17" t="s">
        <v>42</v>
      </c>
      <c r="E4" s="19" t="s">
        <v>30</v>
      </c>
      <c r="F4" s="17" t="s">
        <v>43</v>
      </c>
      <c r="G4" s="17" t="s">
        <v>44</v>
      </c>
      <c r="H4" s="19">
        <v>9.714460011E9</v>
      </c>
      <c r="I4" s="19" t="s">
        <v>33</v>
      </c>
      <c r="J4" s="19" t="s">
        <v>33</v>
      </c>
      <c r="K4" s="19">
        <v>1197.0</v>
      </c>
      <c r="L4" s="20">
        <v>46388.0</v>
      </c>
      <c r="M4" s="19" t="s">
        <v>45</v>
      </c>
      <c r="N4" s="21" t="s">
        <v>46</v>
      </c>
      <c r="O4" s="19" t="s">
        <v>47</v>
      </c>
      <c r="P4" s="19" t="s">
        <v>37</v>
      </c>
      <c r="Q4" s="17" t="s">
        <v>38</v>
      </c>
      <c r="R4" s="22">
        <v>50649.0</v>
      </c>
      <c r="S4" s="19" t="s">
        <v>48</v>
      </c>
      <c r="T4" s="19" t="s">
        <v>33</v>
      </c>
      <c r="U4" s="19" t="s">
        <v>33</v>
      </c>
      <c r="V4" s="23">
        <v>3751.0</v>
      </c>
      <c r="W4" s="23">
        <v>4426.0</v>
      </c>
      <c r="X4" s="24">
        <v>4500.0</v>
      </c>
      <c r="Y4" s="24">
        <v>4500.0</v>
      </c>
      <c r="Z4" s="14">
        <f t="shared" si="1"/>
        <v>-74</v>
      </c>
      <c r="AA4" s="15">
        <f t="shared" si="2"/>
        <v>0</v>
      </c>
      <c r="AB4" s="19" t="s">
        <v>39</v>
      </c>
      <c r="AC4" s="17" t="s">
        <v>49</v>
      </c>
    </row>
    <row r="5">
      <c r="A5" s="17">
        <v>3.0</v>
      </c>
      <c r="B5" s="8">
        <v>46054.0</v>
      </c>
      <c r="C5" s="17" t="s">
        <v>50</v>
      </c>
      <c r="D5" s="17" t="s">
        <v>51</v>
      </c>
      <c r="E5" s="19" t="s">
        <v>52</v>
      </c>
      <c r="F5" s="17" t="s">
        <v>53</v>
      </c>
      <c r="G5" s="17" t="s">
        <v>54</v>
      </c>
      <c r="H5" s="19">
        <v>9.099318731E9</v>
      </c>
      <c r="I5" s="19">
        <v>9.428571848E9</v>
      </c>
      <c r="J5" s="19" t="s">
        <v>55</v>
      </c>
      <c r="K5" s="19">
        <v>2670.0</v>
      </c>
      <c r="L5" s="19" t="s">
        <v>56</v>
      </c>
      <c r="M5" s="19" t="s">
        <v>57</v>
      </c>
      <c r="N5" s="21" t="s">
        <v>58</v>
      </c>
      <c r="O5" s="19" t="s">
        <v>59</v>
      </c>
      <c r="P5" s="19" t="s">
        <v>60</v>
      </c>
      <c r="Q5" s="17" t="s">
        <v>38</v>
      </c>
      <c r="R5" s="22">
        <v>46874.0</v>
      </c>
      <c r="S5" s="19" t="s">
        <v>48</v>
      </c>
      <c r="T5" s="19" t="s">
        <v>33</v>
      </c>
      <c r="U5" s="19" t="s">
        <v>33</v>
      </c>
      <c r="V5" s="23">
        <v>18993.0</v>
      </c>
      <c r="W5" s="23">
        <v>20313.0</v>
      </c>
      <c r="X5" s="24">
        <v>13446.0</v>
      </c>
      <c r="Y5" s="24">
        <v>13500.0</v>
      </c>
      <c r="Z5" s="14">
        <f t="shared" si="1"/>
        <v>6813</v>
      </c>
      <c r="AA5" s="15">
        <f t="shared" si="2"/>
        <v>54</v>
      </c>
      <c r="AB5" s="19" t="s">
        <v>39</v>
      </c>
      <c r="AC5" s="17" t="s">
        <v>61</v>
      </c>
    </row>
    <row r="6">
      <c r="A6" s="17">
        <v>4.0</v>
      </c>
      <c r="B6" s="8">
        <v>46054.0</v>
      </c>
      <c r="C6" s="17" t="s">
        <v>62</v>
      </c>
      <c r="D6" s="17" t="s">
        <v>63</v>
      </c>
      <c r="E6" s="19" t="s">
        <v>52</v>
      </c>
      <c r="F6" s="17" t="s">
        <v>64</v>
      </c>
      <c r="G6" s="17" t="s">
        <v>65</v>
      </c>
      <c r="H6" s="19">
        <v>9.428571848E9</v>
      </c>
      <c r="I6" s="19">
        <v>9.099318731E9</v>
      </c>
      <c r="J6" s="19" t="s">
        <v>55</v>
      </c>
      <c r="K6" s="19">
        <v>2825.0</v>
      </c>
      <c r="L6" s="19" t="s">
        <v>56</v>
      </c>
      <c r="M6" s="19" t="s">
        <v>57</v>
      </c>
      <c r="N6" s="21" t="s">
        <v>58</v>
      </c>
      <c r="O6" s="19" t="s">
        <v>66</v>
      </c>
      <c r="P6" s="19" t="s">
        <v>60</v>
      </c>
      <c r="Q6" s="17" t="s">
        <v>38</v>
      </c>
      <c r="R6" s="22">
        <v>46874.0</v>
      </c>
      <c r="S6" s="22">
        <v>46388.0</v>
      </c>
      <c r="T6" s="19" t="s">
        <v>33</v>
      </c>
      <c r="U6" s="19" t="s">
        <v>33</v>
      </c>
      <c r="V6" s="23">
        <v>20966.0</v>
      </c>
      <c r="W6" s="23">
        <v>22643.0</v>
      </c>
      <c r="X6" s="19">
        <v>14574.0</v>
      </c>
      <c r="Y6" s="19">
        <v>13700.0</v>
      </c>
      <c r="Z6" s="14">
        <f t="shared" si="1"/>
        <v>8943</v>
      </c>
      <c r="AA6" s="15">
        <f t="shared" si="2"/>
        <v>-874</v>
      </c>
      <c r="AB6" s="19" t="s">
        <v>39</v>
      </c>
      <c r="AC6" s="17" t="s">
        <v>67</v>
      </c>
    </row>
    <row r="7">
      <c r="A7" s="17">
        <v>5.0</v>
      </c>
      <c r="B7" s="8">
        <v>46054.0</v>
      </c>
      <c r="C7" s="17" t="s">
        <v>68</v>
      </c>
      <c r="D7" s="17" t="s">
        <v>69</v>
      </c>
      <c r="E7" s="19" t="s">
        <v>52</v>
      </c>
      <c r="F7" s="17" t="s">
        <v>70</v>
      </c>
      <c r="G7" s="17" t="s">
        <v>71</v>
      </c>
      <c r="H7" s="19">
        <v>9.099318731E9</v>
      </c>
      <c r="I7" s="19">
        <v>9.428571848E9</v>
      </c>
      <c r="J7" s="19" t="s">
        <v>55</v>
      </c>
      <c r="K7" s="19">
        <v>2825.0</v>
      </c>
      <c r="L7" s="19" t="s">
        <v>56</v>
      </c>
      <c r="M7" s="19" t="s">
        <v>57</v>
      </c>
      <c r="N7" s="21" t="s">
        <v>58</v>
      </c>
      <c r="O7" s="19" t="s">
        <v>59</v>
      </c>
      <c r="P7" s="19" t="s">
        <v>60</v>
      </c>
      <c r="Q7" s="17" t="s">
        <v>38</v>
      </c>
      <c r="R7" s="25">
        <v>46997.0</v>
      </c>
      <c r="S7" s="19" t="s">
        <v>48</v>
      </c>
      <c r="T7" s="19" t="s">
        <v>33</v>
      </c>
      <c r="U7" s="19" t="s">
        <v>33</v>
      </c>
      <c r="V7" s="23">
        <v>21370.0</v>
      </c>
      <c r="W7" s="23">
        <v>23118.0</v>
      </c>
      <c r="X7" s="24">
        <v>14809.0</v>
      </c>
      <c r="Y7" s="24">
        <v>14000.0</v>
      </c>
      <c r="Z7" s="14">
        <f t="shared" si="1"/>
        <v>9118</v>
      </c>
      <c r="AA7" s="15">
        <f t="shared" si="2"/>
        <v>-809</v>
      </c>
      <c r="AB7" s="19" t="s">
        <v>39</v>
      </c>
      <c r="AC7" s="17" t="s">
        <v>72</v>
      </c>
    </row>
    <row r="8">
      <c r="A8" s="17">
        <v>6.0</v>
      </c>
      <c r="B8" s="8">
        <v>46054.0</v>
      </c>
      <c r="C8" s="17" t="s">
        <v>73</v>
      </c>
      <c r="D8" s="17" t="s">
        <v>74</v>
      </c>
      <c r="E8" s="19" t="s">
        <v>75</v>
      </c>
      <c r="F8" s="17" t="s">
        <v>76</v>
      </c>
      <c r="G8" s="17" t="s">
        <v>77</v>
      </c>
      <c r="H8" s="19">
        <v>9.408040085E9</v>
      </c>
      <c r="I8" s="19" t="s">
        <v>33</v>
      </c>
      <c r="J8" s="19" t="s">
        <v>33</v>
      </c>
      <c r="K8" s="19">
        <v>109.0</v>
      </c>
      <c r="L8" s="20">
        <v>46388.0</v>
      </c>
      <c r="M8" s="19" t="s">
        <v>78</v>
      </c>
      <c r="N8" s="21" t="s">
        <v>46</v>
      </c>
      <c r="O8" s="19" t="s">
        <v>36</v>
      </c>
      <c r="P8" s="19" t="s">
        <v>79</v>
      </c>
      <c r="Q8" s="17" t="s">
        <v>38</v>
      </c>
      <c r="R8" s="19" t="s">
        <v>80</v>
      </c>
      <c r="S8" s="19" t="s">
        <v>48</v>
      </c>
      <c r="T8" s="19" t="s">
        <v>33</v>
      </c>
      <c r="U8" s="19" t="s">
        <v>33</v>
      </c>
      <c r="V8" s="23">
        <v>714.0</v>
      </c>
      <c r="W8" s="23">
        <v>842.0</v>
      </c>
      <c r="X8" s="24">
        <v>850.0</v>
      </c>
      <c r="Y8" s="24">
        <v>850.0</v>
      </c>
      <c r="Z8" s="14">
        <f t="shared" si="1"/>
        <v>-8</v>
      </c>
      <c r="AA8" s="15">
        <f t="shared" si="2"/>
        <v>0</v>
      </c>
      <c r="AB8" s="19" t="s">
        <v>39</v>
      </c>
      <c r="AC8" s="17" t="s">
        <v>81</v>
      </c>
    </row>
    <row r="9">
      <c r="A9" s="17">
        <v>7.0</v>
      </c>
      <c r="B9" s="8">
        <v>46054.0</v>
      </c>
      <c r="C9" s="17" t="s">
        <v>82</v>
      </c>
      <c r="D9" s="17" t="s">
        <v>83</v>
      </c>
      <c r="E9" s="19" t="s">
        <v>52</v>
      </c>
      <c r="F9" s="17" t="s">
        <v>64</v>
      </c>
      <c r="G9" s="17" t="s">
        <v>84</v>
      </c>
      <c r="H9" s="19">
        <v>9.099318731E9</v>
      </c>
      <c r="I9" s="19">
        <v>9.428571848E9</v>
      </c>
      <c r="J9" s="19" t="s">
        <v>55</v>
      </c>
      <c r="K9" s="19">
        <v>2825.0</v>
      </c>
      <c r="L9" s="19" t="s">
        <v>56</v>
      </c>
      <c r="M9" s="19" t="s">
        <v>57</v>
      </c>
      <c r="N9" s="21" t="s">
        <v>58</v>
      </c>
      <c r="O9" s="19" t="s">
        <v>59</v>
      </c>
      <c r="P9" s="19" t="s">
        <v>60</v>
      </c>
      <c r="Q9" s="17" t="s">
        <v>38</v>
      </c>
      <c r="R9" s="22">
        <v>46997.0</v>
      </c>
      <c r="S9" s="19" t="s">
        <v>48</v>
      </c>
      <c r="T9" s="19" t="s">
        <v>33</v>
      </c>
      <c r="U9" s="19" t="s">
        <v>33</v>
      </c>
      <c r="V9" s="23">
        <v>21359.0</v>
      </c>
      <c r="W9" s="23">
        <v>23105.0</v>
      </c>
      <c r="X9" s="24">
        <v>14803.0</v>
      </c>
      <c r="Y9" s="19">
        <v>14000.0</v>
      </c>
      <c r="Z9" s="14">
        <f t="shared" si="1"/>
        <v>9105</v>
      </c>
      <c r="AA9" s="15">
        <f t="shared" si="2"/>
        <v>-803</v>
      </c>
      <c r="AB9" s="19" t="s">
        <v>39</v>
      </c>
      <c r="AC9" s="17" t="s">
        <v>85</v>
      </c>
    </row>
    <row r="10">
      <c r="A10" s="17">
        <v>8.0</v>
      </c>
      <c r="B10" s="8">
        <v>46054.0</v>
      </c>
      <c r="C10" s="17" t="s">
        <v>86</v>
      </c>
      <c r="D10" s="17" t="s">
        <v>87</v>
      </c>
      <c r="E10" s="19" t="s">
        <v>88</v>
      </c>
      <c r="F10" s="17" t="s">
        <v>89</v>
      </c>
      <c r="G10" s="17" t="s">
        <v>90</v>
      </c>
      <c r="H10" s="19" t="s">
        <v>91</v>
      </c>
      <c r="I10" s="19">
        <v>9.624049919E9</v>
      </c>
      <c r="J10" s="19" t="s">
        <v>33</v>
      </c>
      <c r="K10" s="19">
        <v>35000.0</v>
      </c>
      <c r="L10" s="19" t="s">
        <v>56</v>
      </c>
      <c r="M10" s="19" t="s">
        <v>92</v>
      </c>
      <c r="N10" s="21" t="s">
        <v>58</v>
      </c>
      <c r="O10" s="19" t="s">
        <v>93</v>
      </c>
      <c r="P10" s="19" t="s">
        <v>79</v>
      </c>
      <c r="Q10" s="17" t="s">
        <v>38</v>
      </c>
      <c r="R10" s="19" t="s">
        <v>94</v>
      </c>
      <c r="S10" s="19" t="s">
        <v>95</v>
      </c>
      <c r="T10" s="19" t="s">
        <v>96</v>
      </c>
      <c r="U10" s="19" t="s">
        <v>33</v>
      </c>
      <c r="V10" s="23">
        <v>71474.0</v>
      </c>
      <c r="W10" s="23">
        <v>78626.0</v>
      </c>
      <c r="X10" s="24">
        <v>66000.0</v>
      </c>
      <c r="Y10" s="24">
        <v>66000.0</v>
      </c>
      <c r="Z10" s="14">
        <f t="shared" si="1"/>
        <v>12626</v>
      </c>
      <c r="AA10" s="15">
        <f t="shared" si="2"/>
        <v>0</v>
      </c>
      <c r="AB10" s="19" t="s">
        <v>39</v>
      </c>
      <c r="AC10" s="17" t="s">
        <v>97</v>
      </c>
    </row>
    <row r="11">
      <c r="A11" s="17">
        <v>9.0</v>
      </c>
      <c r="B11" s="8">
        <v>46054.0</v>
      </c>
      <c r="C11" s="17" t="s">
        <v>98</v>
      </c>
      <c r="D11" s="17" t="s">
        <v>99</v>
      </c>
      <c r="E11" s="19" t="s">
        <v>88</v>
      </c>
      <c r="F11" s="17" t="s">
        <v>89</v>
      </c>
      <c r="G11" s="17" t="s">
        <v>90</v>
      </c>
      <c r="H11" s="19" t="s">
        <v>91</v>
      </c>
      <c r="I11" s="19">
        <v>9.624049919E9</v>
      </c>
      <c r="J11" s="19" t="s">
        <v>33</v>
      </c>
      <c r="K11" s="19">
        <v>35000.0</v>
      </c>
      <c r="L11" s="19" t="s">
        <v>56</v>
      </c>
      <c r="M11" s="19" t="s">
        <v>92</v>
      </c>
      <c r="N11" s="21" t="s">
        <v>58</v>
      </c>
      <c r="O11" s="19" t="s">
        <v>93</v>
      </c>
      <c r="P11" s="19" t="s">
        <v>79</v>
      </c>
      <c r="Q11" s="17" t="s">
        <v>38</v>
      </c>
      <c r="R11" s="19" t="s">
        <v>94</v>
      </c>
      <c r="S11" s="19" t="s">
        <v>95</v>
      </c>
      <c r="T11" s="19" t="s">
        <v>96</v>
      </c>
      <c r="U11" s="19" t="s">
        <v>33</v>
      </c>
      <c r="V11" s="23">
        <v>71474.0</v>
      </c>
      <c r="W11" s="23">
        <v>78626.0</v>
      </c>
      <c r="X11" s="19">
        <v>66000.0</v>
      </c>
      <c r="Y11" s="19">
        <v>66000.0</v>
      </c>
      <c r="Z11" s="14">
        <f t="shared" si="1"/>
        <v>12626</v>
      </c>
      <c r="AA11" s="15">
        <f t="shared" si="2"/>
        <v>0</v>
      </c>
      <c r="AB11" s="19" t="s">
        <v>39</v>
      </c>
      <c r="AC11" s="17" t="s">
        <v>97</v>
      </c>
    </row>
    <row r="12">
      <c r="A12" s="26">
        <v>10.0</v>
      </c>
      <c r="B12" s="8">
        <v>46082.0</v>
      </c>
      <c r="C12" s="17" t="s">
        <v>100</v>
      </c>
      <c r="D12" s="17" t="s">
        <v>101</v>
      </c>
      <c r="E12" s="19" t="s">
        <v>102</v>
      </c>
      <c r="F12" s="17" t="s">
        <v>103</v>
      </c>
      <c r="G12" s="17" t="s">
        <v>104</v>
      </c>
      <c r="H12" s="19">
        <v>8.16064351E9</v>
      </c>
      <c r="I12" s="19">
        <v>9.913221784E9</v>
      </c>
      <c r="J12" s="19" t="s">
        <v>105</v>
      </c>
      <c r="K12" s="19">
        <v>818.0</v>
      </c>
      <c r="L12" s="19" t="s">
        <v>106</v>
      </c>
      <c r="M12" s="19" t="s">
        <v>107</v>
      </c>
      <c r="N12" s="21" t="s">
        <v>58</v>
      </c>
      <c r="O12" s="19" t="s">
        <v>66</v>
      </c>
      <c r="P12" s="19" t="s">
        <v>60</v>
      </c>
      <c r="Q12" s="17" t="s">
        <v>38</v>
      </c>
      <c r="R12" s="22">
        <v>46113.0</v>
      </c>
      <c r="S12" s="22">
        <v>46388.0</v>
      </c>
      <c r="T12" s="19" t="s">
        <v>94</v>
      </c>
      <c r="U12" s="19" t="s">
        <v>33</v>
      </c>
      <c r="V12" s="23">
        <v>6244.0</v>
      </c>
      <c r="W12" s="23">
        <v>7368.0</v>
      </c>
      <c r="X12" s="19">
        <v>6500.0</v>
      </c>
      <c r="Y12" s="19">
        <v>6500.0</v>
      </c>
      <c r="Z12" s="14">
        <f t="shared" si="1"/>
        <v>868</v>
      </c>
      <c r="AA12" s="15">
        <f t="shared" si="2"/>
        <v>0</v>
      </c>
      <c r="AB12" s="19" t="s">
        <v>39</v>
      </c>
      <c r="AC12" s="17" t="s">
        <v>108</v>
      </c>
    </row>
    <row r="13">
      <c r="A13" s="17">
        <v>11.0</v>
      </c>
      <c r="B13" s="8">
        <v>46082.0</v>
      </c>
      <c r="C13" s="17" t="s">
        <v>109</v>
      </c>
      <c r="D13" s="17" t="s">
        <v>110</v>
      </c>
      <c r="E13" s="19" t="s">
        <v>102</v>
      </c>
      <c r="F13" s="17" t="s">
        <v>111</v>
      </c>
      <c r="G13" s="17" t="s">
        <v>112</v>
      </c>
      <c r="H13" s="19">
        <v>9.925523483E9</v>
      </c>
      <c r="I13" s="19">
        <v>8.347262476E9</v>
      </c>
      <c r="J13" s="19" t="s">
        <v>33</v>
      </c>
      <c r="K13" s="19">
        <v>818.0</v>
      </c>
      <c r="L13" s="20">
        <v>46388.0</v>
      </c>
      <c r="M13" s="19" t="s">
        <v>107</v>
      </c>
      <c r="N13" s="21" t="s">
        <v>58</v>
      </c>
      <c r="O13" s="19" t="s">
        <v>66</v>
      </c>
      <c r="P13" s="19" t="s">
        <v>60</v>
      </c>
      <c r="Q13" s="17" t="s">
        <v>38</v>
      </c>
      <c r="R13" s="19" t="s">
        <v>113</v>
      </c>
      <c r="S13" s="19" t="s">
        <v>114</v>
      </c>
      <c r="T13" s="22">
        <v>46915.0</v>
      </c>
      <c r="U13" s="19" t="s">
        <v>33</v>
      </c>
      <c r="V13" s="23">
        <v>6321.0</v>
      </c>
      <c r="W13" s="23">
        <v>7459.0</v>
      </c>
      <c r="X13" s="19">
        <v>6500.0</v>
      </c>
      <c r="Y13" s="19">
        <v>6000.0</v>
      </c>
      <c r="Z13" s="14">
        <f t="shared" si="1"/>
        <v>1459</v>
      </c>
      <c r="AA13" s="15">
        <f t="shared" si="2"/>
        <v>-500</v>
      </c>
      <c r="AB13" s="19" t="s">
        <v>39</v>
      </c>
      <c r="AC13" s="17" t="s">
        <v>115</v>
      </c>
    </row>
    <row r="14">
      <c r="A14" s="17">
        <v>12.0</v>
      </c>
      <c r="B14" s="8">
        <v>46082.0</v>
      </c>
      <c r="C14" s="17" t="s">
        <v>116</v>
      </c>
      <c r="D14" s="17" t="s">
        <v>117</v>
      </c>
      <c r="E14" s="19" t="s">
        <v>102</v>
      </c>
      <c r="F14" s="17" t="s">
        <v>111</v>
      </c>
      <c r="G14" s="17" t="s">
        <v>118</v>
      </c>
      <c r="H14" s="19">
        <v>9.879280045E9</v>
      </c>
      <c r="I14" s="19">
        <v>9.512946476E9</v>
      </c>
      <c r="J14" s="19" t="s">
        <v>33</v>
      </c>
      <c r="K14" s="19">
        <v>806.0</v>
      </c>
      <c r="L14" s="20">
        <v>46388.0</v>
      </c>
      <c r="M14" s="19" t="s">
        <v>107</v>
      </c>
      <c r="N14" s="21" t="s">
        <v>58</v>
      </c>
      <c r="O14" s="19" t="s">
        <v>119</v>
      </c>
      <c r="P14" s="19" t="s">
        <v>60</v>
      </c>
      <c r="Q14" s="17" t="s">
        <v>38</v>
      </c>
      <c r="R14" s="19" t="s">
        <v>120</v>
      </c>
      <c r="S14" s="25">
        <v>46337.0</v>
      </c>
      <c r="T14" s="25">
        <v>46731.0</v>
      </c>
      <c r="U14" s="19" t="s">
        <v>33</v>
      </c>
      <c r="V14" s="23">
        <v>6319.0</v>
      </c>
      <c r="W14" s="23">
        <v>7457.0</v>
      </c>
      <c r="X14" s="19">
        <v>6500.0</v>
      </c>
      <c r="Y14" s="19">
        <v>6500.0</v>
      </c>
      <c r="Z14" s="14">
        <f t="shared" si="1"/>
        <v>957</v>
      </c>
      <c r="AA14" s="15">
        <f t="shared" si="2"/>
        <v>0</v>
      </c>
      <c r="AB14" s="19" t="s">
        <v>39</v>
      </c>
      <c r="AC14" s="17" t="s">
        <v>121</v>
      </c>
    </row>
    <row r="15">
      <c r="A15" s="17">
        <v>13.0</v>
      </c>
      <c r="B15" s="8">
        <v>46082.0</v>
      </c>
      <c r="C15" s="17" t="s">
        <v>122</v>
      </c>
      <c r="D15" s="17" t="s">
        <v>123</v>
      </c>
      <c r="E15" s="19" t="s">
        <v>102</v>
      </c>
      <c r="F15" s="17" t="s">
        <v>111</v>
      </c>
      <c r="G15" s="17" t="s">
        <v>124</v>
      </c>
      <c r="H15" s="19">
        <v>9.925523483E9</v>
      </c>
      <c r="I15" s="19">
        <v>8.347262476E9</v>
      </c>
      <c r="J15" s="19" t="s">
        <v>105</v>
      </c>
      <c r="K15" s="19">
        <v>818.0</v>
      </c>
      <c r="L15" s="20">
        <v>46388.0</v>
      </c>
      <c r="M15" s="19" t="s">
        <v>107</v>
      </c>
      <c r="N15" s="21" t="s">
        <v>58</v>
      </c>
      <c r="O15" s="19" t="s">
        <v>59</v>
      </c>
      <c r="P15" s="19" t="s">
        <v>60</v>
      </c>
      <c r="Q15" s="17" t="s">
        <v>38</v>
      </c>
      <c r="R15" s="22">
        <v>46844.0</v>
      </c>
      <c r="S15" s="22">
        <v>46388.0</v>
      </c>
      <c r="T15" s="19" t="s">
        <v>33</v>
      </c>
      <c r="U15" s="19" t="s">
        <v>33</v>
      </c>
      <c r="V15" s="23">
        <v>6559.0</v>
      </c>
      <c r="W15" s="23">
        <v>7740.0</v>
      </c>
      <c r="X15" s="19">
        <v>6500.0</v>
      </c>
      <c r="Y15" s="19">
        <v>6000.0</v>
      </c>
      <c r="Z15" s="14">
        <f t="shared" si="1"/>
        <v>1740</v>
      </c>
      <c r="AA15" s="15">
        <f t="shared" si="2"/>
        <v>-500</v>
      </c>
      <c r="AB15" s="19" t="s">
        <v>39</v>
      </c>
      <c r="AC15" s="17" t="s">
        <v>125</v>
      </c>
    </row>
    <row r="16">
      <c r="A16" s="26">
        <v>14.0</v>
      </c>
      <c r="B16" s="27">
        <v>46082.0</v>
      </c>
      <c r="C16" s="26" t="s">
        <v>126</v>
      </c>
      <c r="D16" s="28">
        <v>9.0092422E8</v>
      </c>
      <c r="E16" s="29" t="s">
        <v>30</v>
      </c>
      <c r="F16" s="26" t="s">
        <v>127</v>
      </c>
      <c r="G16" s="26" t="s">
        <v>128</v>
      </c>
      <c r="H16" s="29">
        <v>8.849227517E9</v>
      </c>
      <c r="I16" s="29">
        <v>8.799182266E9</v>
      </c>
      <c r="J16" s="29" t="s">
        <v>33</v>
      </c>
      <c r="K16" s="29">
        <v>1396.0</v>
      </c>
      <c r="L16" s="30">
        <v>46419.0</v>
      </c>
      <c r="M16" s="29" t="s">
        <v>34</v>
      </c>
      <c r="N16" s="31" t="s">
        <v>46</v>
      </c>
      <c r="O16" s="29" t="s">
        <v>129</v>
      </c>
      <c r="P16" s="29" t="s">
        <v>37</v>
      </c>
      <c r="Q16" s="26" t="s">
        <v>38</v>
      </c>
      <c r="R16" s="29" t="s">
        <v>130</v>
      </c>
      <c r="S16" s="32">
        <v>46087.0</v>
      </c>
      <c r="T16" s="29" t="s">
        <v>33</v>
      </c>
      <c r="U16" s="29" t="s">
        <v>33</v>
      </c>
      <c r="V16" s="33">
        <v>3986.0</v>
      </c>
      <c r="W16" s="33">
        <v>4703.0</v>
      </c>
      <c r="X16" s="29">
        <v>4800.0</v>
      </c>
      <c r="Y16" s="29">
        <v>4800.0</v>
      </c>
      <c r="Z16" s="34">
        <f t="shared" si="1"/>
        <v>-97</v>
      </c>
      <c r="AA16" s="15">
        <f t="shared" si="2"/>
        <v>0</v>
      </c>
      <c r="AB16" s="29" t="s">
        <v>39</v>
      </c>
      <c r="AC16" s="26" t="s">
        <v>131</v>
      </c>
    </row>
    <row r="17">
      <c r="A17" s="17">
        <v>15.0</v>
      </c>
      <c r="B17" s="8">
        <v>46082.0</v>
      </c>
      <c r="C17" s="17" t="s">
        <v>132</v>
      </c>
      <c r="D17" s="17" t="s">
        <v>133</v>
      </c>
      <c r="E17" s="19" t="s">
        <v>88</v>
      </c>
      <c r="F17" s="17" t="s">
        <v>134</v>
      </c>
      <c r="G17" s="17" t="s">
        <v>135</v>
      </c>
      <c r="H17" s="19">
        <v>8.20001614E9</v>
      </c>
      <c r="I17" s="19">
        <v>9.909173677E9</v>
      </c>
      <c r="J17" s="19" t="s">
        <v>33</v>
      </c>
      <c r="K17" s="19">
        <v>18000.0</v>
      </c>
      <c r="L17" s="20">
        <v>46419.0</v>
      </c>
      <c r="M17" s="19" t="s">
        <v>107</v>
      </c>
      <c r="N17" s="21" t="s">
        <v>58</v>
      </c>
      <c r="O17" s="19" t="s">
        <v>136</v>
      </c>
      <c r="P17" s="19" t="s">
        <v>60</v>
      </c>
      <c r="Q17" s="17" t="s">
        <v>38</v>
      </c>
      <c r="R17" s="22">
        <v>46419.0</v>
      </c>
      <c r="S17" s="22">
        <v>46388.0</v>
      </c>
      <c r="T17" s="22">
        <v>47604.0</v>
      </c>
      <c r="U17" s="19" t="s">
        <v>33</v>
      </c>
      <c r="V17" s="23">
        <v>50989.0</v>
      </c>
      <c r="W17" s="23">
        <v>55577.0</v>
      </c>
      <c r="X17" s="19">
        <v>47500.0</v>
      </c>
      <c r="Y17" s="19">
        <v>47500.0</v>
      </c>
      <c r="Z17" s="14">
        <f t="shared" si="1"/>
        <v>8077</v>
      </c>
      <c r="AA17" s="15">
        <f t="shared" si="2"/>
        <v>0</v>
      </c>
      <c r="AB17" s="19" t="s">
        <v>39</v>
      </c>
      <c r="AC17" s="17" t="s">
        <v>137</v>
      </c>
    </row>
    <row r="18">
      <c r="A18" s="17">
        <v>16.0</v>
      </c>
      <c r="B18" s="8">
        <v>46082.0</v>
      </c>
      <c r="C18" s="17" t="s">
        <v>138</v>
      </c>
      <c r="D18" s="17" t="s">
        <v>139</v>
      </c>
      <c r="E18" s="19" t="s">
        <v>88</v>
      </c>
      <c r="F18" s="17" t="s">
        <v>134</v>
      </c>
      <c r="G18" s="17" t="s">
        <v>135</v>
      </c>
      <c r="H18" s="19">
        <v>8.20001614E9</v>
      </c>
      <c r="I18" s="19">
        <v>9.909173677E9</v>
      </c>
      <c r="J18" s="19" t="s">
        <v>33</v>
      </c>
      <c r="K18" s="19">
        <v>18000.0</v>
      </c>
      <c r="L18" s="20">
        <v>46419.0</v>
      </c>
      <c r="M18" s="19" t="s">
        <v>107</v>
      </c>
      <c r="N18" s="21" t="s">
        <v>58</v>
      </c>
      <c r="O18" s="19" t="s">
        <v>136</v>
      </c>
      <c r="P18" s="19" t="s">
        <v>60</v>
      </c>
      <c r="Q18" s="17" t="s">
        <v>38</v>
      </c>
      <c r="R18" s="22">
        <v>46419.0</v>
      </c>
      <c r="S18" s="19" t="s">
        <v>48</v>
      </c>
      <c r="T18" s="22">
        <v>47604.0</v>
      </c>
      <c r="U18" s="19" t="s">
        <v>33</v>
      </c>
      <c r="V18" s="19">
        <v>50989.0</v>
      </c>
      <c r="W18" s="19">
        <v>55577.0</v>
      </c>
      <c r="X18" s="19">
        <v>47500.0</v>
      </c>
      <c r="Y18" s="19">
        <v>47500.0</v>
      </c>
      <c r="Z18" s="10">
        <f t="shared" si="1"/>
        <v>8077</v>
      </c>
      <c r="AA18" s="15">
        <f t="shared" si="2"/>
        <v>0</v>
      </c>
      <c r="AB18" s="19" t="s">
        <v>39</v>
      </c>
      <c r="AC18" s="17" t="s">
        <v>140</v>
      </c>
    </row>
    <row r="19">
      <c r="A19" s="26">
        <v>17.0</v>
      </c>
      <c r="B19" s="27">
        <v>46082.0</v>
      </c>
      <c r="C19" s="26" t="s">
        <v>141</v>
      </c>
      <c r="D19" s="26" t="s">
        <v>142</v>
      </c>
      <c r="E19" s="29" t="s">
        <v>52</v>
      </c>
      <c r="F19" s="26" t="s">
        <v>143</v>
      </c>
      <c r="G19" s="26" t="s">
        <v>144</v>
      </c>
      <c r="H19" s="29" t="s">
        <v>145</v>
      </c>
      <c r="I19" s="29">
        <v>9.99806128E9</v>
      </c>
      <c r="J19" s="29" t="s">
        <v>33</v>
      </c>
      <c r="K19" s="29">
        <v>2950.0</v>
      </c>
      <c r="L19" s="30">
        <v>46419.0</v>
      </c>
      <c r="M19" s="29" t="s">
        <v>92</v>
      </c>
      <c r="N19" s="31" t="s">
        <v>58</v>
      </c>
      <c r="O19" s="29" t="s">
        <v>129</v>
      </c>
      <c r="P19" s="29" t="s">
        <v>60</v>
      </c>
      <c r="Q19" s="26" t="s">
        <v>38</v>
      </c>
      <c r="R19" s="32">
        <v>46212.0</v>
      </c>
      <c r="S19" s="29" t="s">
        <v>146</v>
      </c>
      <c r="T19" s="29" t="s">
        <v>33</v>
      </c>
      <c r="U19" s="29" t="s">
        <v>33</v>
      </c>
      <c r="V19" s="33">
        <v>17515.0</v>
      </c>
      <c r="W19" s="33">
        <v>18581.0</v>
      </c>
      <c r="X19" s="29">
        <v>13500.0</v>
      </c>
      <c r="Y19" s="29">
        <v>12500.0</v>
      </c>
      <c r="Z19" s="34">
        <f t="shared" si="1"/>
        <v>6081</v>
      </c>
      <c r="AA19" s="15">
        <f t="shared" si="2"/>
        <v>-1000</v>
      </c>
      <c r="AB19" s="29" t="s">
        <v>39</v>
      </c>
      <c r="AC19" s="26" t="s">
        <v>147</v>
      </c>
    </row>
    <row r="20">
      <c r="A20" s="35">
        <v>18.0</v>
      </c>
      <c r="B20" s="36">
        <v>46082.0</v>
      </c>
      <c r="C20" s="35" t="s">
        <v>148</v>
      </c>
      <c r="D20" s="35" t="s">
        <v>149</v>
      </c>
      <c r="E20" s="37" t="s">
        <v>88</v>
      </c>
      <c r="F20" s="35" t="s">
        <v>150</v>
      </c>
      <c r="G20" s="35" t="s">
        <v>151</v>
      </c>
      <c r="H20" s="37">
        <v>8.849354114E9</v>
      </c>
      <c r="I20" s="37">
        <v>8.980832364E9</v>
      </c>
      <c r="J20" s="37" t="s">
        <v>33</v>
      </c>
      <c r="K20" s="37">
        <v>28000.0</v>
      </c>
      <c r="L20" s="38">
        <v>46419.0</v>
      </c>
      <c r="M20" s="37" t="s">
        <v>152</v>
      </c>
      <c r="N20" s="39" t="s">
        <v>58</v>
      </c>
      <c r="O20" s="37" t="s">
        <v>153</v>
      </c>
      <c r="P20" s="37" t="s">
        <v>79</v>
      </c>
      <c r="Q20" s="35" t="s">
        <v>38</v>
      </c>
      <c r="R20" s="40">
        <v>46124.0</v>
      </c>
      <c r="S20" s="37" t="s">
        <v>154</v>
      </c>
      <c r="T20" s="37" t="s">
        <v>155</v>
      </c>
      <c r="U20" s="37" t="s">
        <v>33</v>
      </c>
      <c r="V20" s="41">
        <v>47873.3</v>
      </c>
      <c r="W20" s="41">
        <v>50777.0</v>
      </c>
      <c r="X20" s="37">
        <v>39970.0</v>
      </c>
      <c r="Y20" s="37">
        <v>41000.0</v>
      </c>
      <c r="Z20" s="14">
        <f t="shared" si="1"/>
        <v>9777</v>
      </c>
      <c r="AA20" s="15">
        <f t="shared" si="2"/>
        <v>1030</v>
      </c>
      <c r="AB20" s="37" t="s">
        <v>39</v>
      </c>
      <c r="AC20" s="35" t="s">
        <v>156</v>
      </c>
    </row>
    <row r="21">
      <c r="A21" s="17">
        <v>19.0</v>
      </c>
      <c r="B21" s="8">
        <v>46082.0</v>
      </c>
      <c r="C21" s="17" t="s">
        <v>157</v>
      </c>
      <c r="D21" s="17" t="s">
        <v>158</v>
      </c>
      <c r="E21" s="19" t="s">
        <v>30</v>
      </c>
      <c r="F21" s="17" t="s">
        <v>159</v>
      </c>
      <c r="G21" s="17" t="s">
        <v>160</v>
      </c>
      <c r="H21" s="19">
        <v>9.825839669E9</v>
      </c>
      <c r="I21" s="19" t="s">
        <v>33</v>
      </c>
      <c r="J21" s="19" t="s">
        <v>33</v>
      </c>
      <c r="K21" s="19">
        <v>2179.0</v>
      </c>
      <c r="L21" s="20">
        <v>46631.0</v>
      </c>
      <c r="M21" s="19" t="s">
        <v>152</v>
      </c>
      <c r="N21" s="21" t="s">
        <v>46</v>
      </c>
      <c r="O21" s="19" t="s">
        <v>161</v>
      </c>
      <c r="P21" s="19" t="s">
        <v>37</v>
      </c>
      <c r="Q21" s="17" t="s">
        <v>38</v>
      </c>
      <c r="R21" s="19" t="s">
        <v>162</v>
      </c>
      <c r="S21" s="19" t="s">
        <v>163</v>
      </c>
      <c r="T21" s="19" t="s">
        <v>33</v>
      </c>
      <c r="U21" s="19" t="s">
        <v>33</v>
      </c>
      <c r="V21" s="23">
        <v>7897.0</v>
      </c>
      <c r="W21" s="19">
        <v>9318.0</v>
      </c>
      <c r="X21" s="24">
        <v>9300.0</v>
      </c>
      <c r="Y21" s="24">
        <v>9300.0</v>
      </c>
      <c r="Z21" s="15">
        <f t="shared" si="1"/>
        <v>18</v>
      </c>
      <c r="AA21" s="15">
        <f t="shared" si="2"/>
        <v>0</v>
      </c>
      <c r="AB21" s="19" t="s">
        <v>39</v>
      </c>
      <c r="AC21" s="17" t="s">
        <v>164</v>
      </c>
    </row>
    <row r="22">
      <c r="A22" s="17">
        <v>20.0</v>
      </c>
      <c r="B22" s="8">
        <v>46082.0</v>
      </c>
      <c r="C22" s="17" t="s">
        <v>165</v>
      </c>
      <c r="D22" s="17" t="s">
        <v>166</v>
      </c>
      <c r="E22" s="19" t="s">
        <v>167</v>
      </c>
      <c r="F22" s="17" t="s">
        <v>168</v>
      </c>
      <c r="G22" s="17" t="s">
        <v>169</v>
      </c>
      <c r="H22" s="19">
        <v>6.354812701E9</v>
      </c>
      <c r="I22" s="19">
        <v>9.726929433E9</v>
      </c>
      <c r="J22" s="19" t="s">
        <v>33</v>
      </c>
      <c r="K22" s="19">
        <v>990.0</v>
      </c>
      <c r="L22" s="20">
        <v>46419.0</v>
      </c>
      <c r="M22" s="19" t="s">
        <v>152</v>
      </c>
      <c r="N22" s="21" t="s">
        <v>58</v>
      </c>
      <c r="O22" s="19" t="s">
        <v>66</v>
      </c>
      <c r="P22" s="19" t="s">
        <v>79</v>
      </c>
      <c r="Q22" s="17" t="s">
        <v>38</v>
      </c>
      <c r="R22" s="19" t="s">
        <v>170</v>
      </c>
      <c r="S22" s="22">
        <v>46692.0</v>
      </c>
      <c r="T22" s="19" t="s">
        <v>33</v>
      </c>
      <c r="U22" s="19" t="s">
        <v>33</v>
      </c>
      <c r="V22" s="23">
        <v>5116.88</v>
      </c>
      <c r="W22" s="19">
        <v>5454.0</v>
      </c>
      <c r="X22" s="24">
        <v>5000.0</v>
      </c>
      <c r="Y22" s="24">
        <v>4500.0</v>
      </c>
      <c r="Z22" s="15">
        <f t="shared" si="1"/>
        <v>954</v>
      </c>
      <c r="AA22" s="15">
        <f t="shared" si="2"/>
        <v>-500</v>
      </c>
      <c r="AB22" s="19" t="s">
        <v>39</v>
      </c>
      <c r="AC22" s="17" t="s">
        <v>171</v>
      </c>
    </row>
    <row r="23">
      <c r="A23" s="17">
        <v>21.0</v>
      </c>
      <c r="B23" s="8">
        <v>46082.0</v>
      </c>
      <c r="C23" s="17" t="s">
        <v>172</v>
      </c>
      <c r="D23" s="17" t="s">
        <v>173</v>
      </c>
      <c r="E23" s="19" t="s">
        <v>167</v>
      </c>
      <c r="F23" s="17" t="s">
        <v>168</v>
      </c>
      <c r="G23" s="17" t="s">
        <v>174</v>
      </c>
      <c r="H23" s="19">
        <v>9.726929433E9</v>
      </c>
      <c r="I23" s="19">
        <v>6.354434065E9</v>
      </c>
      <c r="J23" s="19" t="s">
        <v>33</v>
      </c>
      <c r="K23" s="19">
        <v>995.0</v>
      </c>
      <c r="L23" s="20">
        <v>46419.0</v>
      </c>
      <c r="M23" s="19" t="s">
        <v>152</v>
      </c>
      <c r="N23" s="21" t="s">
        <v>58</v>
      </c>
      <c r="O23" s="19" t="s">
        <v>66</v>
      </c>
      <c r="P23" s="19" t="s">
        <v>79</v>
      </c>
      <c r="Q23" s="17" t="s">
        <v>38</v>
      </c>
      <c r="R23" s="22">
        <v>46966.0</v>
      </c>
      <c r="S23" s="19" t="s">
        <v>175</v>
      </c>
      <c r="T23" s="19" t="s">
        <v>33</v>
      </c>
      <c r="U23" s="19" t="s">
        <v>33</v>
      </c>
      <c r="V23" s="23">
        <v>5166.39</v>
      </c>
      <c r="W23" s="19">
        <v>5512.0</v>
      </c>
      <c r="X23" s="19">
        <v>5000.0</v>
      </c>
      <c r="Y23" s="19">
        <v>4500.0</v>
      </c>
      <c r="Z23" s="10">
        <f t="shared" si="1"/>
        <v>1012</v>
      </c>
      <c r="AA23" s="15">
        <f t="shared" si="2"/>
        <v>-500</v>
      </c>
      <c r="AB23" s="19" t="s">
        <v>39</v>
      </c>
      <c r="AC23" s="17" t="s">
        <v>176</v>
      </c>
    </row>
    <row r="24">
      <c r="A24" s="17">
        <v>22.0</v>
      </c>
      <c r="B24" s="8">
        <v>46082.0</v>
      </c>
      <c r="C24" s="17" t="s">
        <v>177</v>
      </c>
      <c r="D24" s="17" t="s">
        <v>178</v>
      </c>
      <c r="E24" s="19" t="s">
        <v>167</v>
      </c>
      <c r="F24" s="17" t="s">
        <v>168</v>
      </c>
      <c r="G24" s="17" t="s">
        <v>169</v>
      </c>
      <c r="H24" s="19">
        <v>6.354812701E9</v>
      </c>
      <c r="I24" s="19">
        <v>9.726929433E9</v>
      </c>
      <c r="J24" s="19" t="s">
        <v>33</v>
      </c>
      <c r="K24" s="19">
        <v>990.0</v>
      </c>
      <c r="L24" s="20">
        <v>46419.0</v>
      </c>
      <c r="M24" s="19" t="s">
        <v>152</v>
      </c>
      <c r="N24" s="21" t="s">
        <v>58</v>
      </c>
      <c r="O24" s="19" t="s">
        <v>66</v>
      </c>
      <c r="P24" s="19" t="s">
        <v>79</v>
      </c>
      <c r="Q24" s="17" t="s">
        <v>38</v>
      </c>
      <c r="R24" s="22">
        <v>46966.0</v>
      </c>
      <c r="S24" s="22">
        <v>46569.0</v>
      </c>
      <c r="T24" s="19" t="s">
        <v>33</v>
      </c>
      <c r="U24" s="19" t="s">
        <v>33</v>
      </c>
      <c r="V24" s="23">
        <v>5204.01</v>
      </c>
      <c r="W24" s="23">
        <v>5557.0</v>
      </c>
      <c r="X24" s="19">
        <v>5000.0</v>
      </c>
      <c r="Y24" s="19">
        <v>4500.0</v>
      </c>
      <c r="Z24" s="14">
        <f t="shared" si="1"/>
        <v>1057</v>
      </c>
      <c r="AA24" s="15">
        <f t="shared" si="2"/>
        <v>-500</v>
      </c>
      <c r="AB24" s="19" t="s">
        <v>39</v>
      </c>
      <c r="AC24" s="17" t="s">
        <v>179</v>
      </c>
    </row>
    <row r="25">
      <c r="A25" s="26">
        <v>23.0</v>
      </c>
      <c r="B25" s="8">
        <v>46082.0</v>
      </c>
      <c r="C25" s="17" t="s">
        <v>180</v>
      </c>
      <c r="D25" s="17" t="s">
        <v>181</v>
      </c>
      <c r="E25" s="19" t="s">
        <v>167</v>
      </c>
      <c r="F25" s="17" t="s">
        <v>168</v>
      </c>
      <c r="G25" s="17" t="s">
        <v>182</v>
      </c>
      <c r="H25" s="19">
        <v>6.354434065E9</v>
      </c>
      <c r="I25" s="19">
        <v>9.726929433E9</v>
      </c>
      <c r="J25" s="19" t="s">
        <v>33</v>
      </c>
      <c r="K25" s="19">
        <v>995.0</v>
      </c>
      <c r="L25" s="20">
        <v>46419.0</v>
      </c>
      <c r="M25" s="19" t="s">
        <v>152</v>
      </c>
      <c r="N25" s="21" t="s">
        <v>58</v>
      </c>
      <c r="O25" s="19" t="s">
        <v>59</v>
      </c>
      <c r="P25" s="19" t="s">
        <v>79</v>
      </c>
      <c r="Q25" s="17" t="s">
        <v>38</v>
      </c>
      <c r="R25" s="22">
        <v>46364.0</v>
      </c>
      <c r="S25" s="19" t="s">
        <v>183</v>
      </c>
      <c r="T25" s="19" t="s">
        <v>33</v>
      </c>
      <c r="U25" s="19" t="s">
        <v>33</v>
      </c>
      <c r="V25" s="23">
        <v>5314.91</v>
      </c>
      <c r="W25" s="19">
        <v>5688.0</v>
      </c>
      <c r="X25" s="19">
        <v>5000.0</v>
      </c>
      <c r="Y25" s="19">
        <v>4500.0</v>
      </c>
      <c r="Z25" s="10">
        <f t="shared" si="1"/>
        <v>1188</v>
      </c>
      <c r="AA25" s="15">
        <f t="shared" si="2"/>
        <v>-500</v>
      </c>
      <c r="AB25" s="19" t="s">
        <v>39</v>
      </c>
      <c r="AC25" s="17" t="s">
        <v>184</v>
      </c>
    </row>
    <row r="26">
      <c r="A26" s="17">
        <v>24.0</v>
      </c>
      <c r="B26" s="8">
        <v>46082.0</v>
      </c>
      <c r="C26" s="17" t="s">
        <v>185</v>
      </c>
      <c r="D26" s="17" t="s">
        <v>186</v>
      </c>
      <c r="E26" s="19" t="s">
        <v>52</v>
      </c>
      <c r="F26" s="17" t="s">
        <v>187</v>
      </c>
      <c r="G26" s="17" t="s">
        <v>188</v>
      </c>
      <c r="H26" s="19">
        <v>9.979569906E9</v>
      </c>
      <c r="I26" s="19">
        <v>7.984915815E9</v>
      </c>
      <c r="J26" s="19" t="s">
        <v>105</v>
      </c>
      <c r="K26" s="19">
        <v>1600.0</v>
      </c>
      <c r="L26" s="20">
        <v>46388.0</v>
      </c>
      <c r="M26" s="19" t="s">
        <v>189</v>
      </c>
      <c r="N26" s="21" t="s">
        <v>58</v>
      </c>
      <c r="O26" s="19" t="s">
        <v>66</v>
      </c>
      <c r="P26" s="19" t="s">
        <v>79</v>
      </c>
      <c r="Q26" s="17" t="s">
        <v>38</v>
      </c>
      <c r="R26" s="25">
        <v>46784.0</v>
      </c>
      <c r="S26" s="22">
        <v>46388.0</v>
      </c>
      <c r="T26" s="19" t="s">
        <v>33</v>
      </c>
      <c r="U26" s="19" t="s">
        <v>33</v>
      </c>
      <c r="V26" s="19">
        <v>21275.0</v>
      </c>
      <c r="W26" s="19">
        <v>23018.0</v>
      </c>
      <c r="X26" s="19">
        <v>14209.0</v>
      </c>
      <c r="Y26" s="19">
        <v>13500.0</v>
      </c>
      <c r="Z26" s="10">
        <f t="shared" si="1"/>
        <v>9518</v>
      </c>
      <c r="AA26" s="15">
        <f t="shared" si="2"/>
        <v>-709</v>
      </c>
      <c r="AB26" s="19" t="s">
        <v>39</v>
      </c>
      <c r="AC26" s="17" t="s">
        <v>190</v>
      </c>
    </row>
    <row r="27">
      <c r="A27" s="26">
        <v>25.0</v>
      </c>
      <c r="B27" s="20">
        <v>46113.0</v>
      </c>
      <c r="C27" s="17" t="s">
        <v>191</v>
      </c>
      <c r="D27" s="17" t="s">
        <v>192</v>
      </c>
      <c r="E27" s="19" t="s">
        <v>102</v>
      </c>
      <c r="F27" s="17" t="s">
        <v>111</v>
      </c>
      <c r="G27" s="17" t="s">
        <v>193</v>
      </c>
      <c r="H27" s="19">
        <v>9.979312803E9</v>
      </c>
      <c r="I27" s="19">
        <v>9.925650392E9</v>
      </c>
      <c r="J27" s="19" t="s">
        <v>105</v>
      </c>
      <c r="K27" s="19">
        <v>818.0</v>
      </c>
      <c r="L27" s="20">
        <v>46478.0</v>
      </c>
      <c r="M27" s="19" t="s">
        <v>107</v>
      </c>
      <c r="N27" s="21" t="s">
        <v>58</v>
      </c>
      <c r="O27" s="19" t="s">
        <v>66</v>
      </c>
      <c r="P27" s="19" t="s">
        <v>60</v>
      </c>
      <c r="Q27" s="17" t="s">
        <v>38</v>
      </c>
      <c r="R27" s="22">
        <v>46935.0</v>
      </c>
      <c r="S27" s="22">
        <v>46367.0</v>
      </c>
      <c r="T27" s="22">
        <v>47027.0</v>
      </c>
      <c r="U27" s="19" t="s">
        <v>33</v>
      </c>
      <c r="V27" s="19">
        <v>6282.0</v>
      </c>
      <c r="W27" s="19">
        <v>7413.0</v>
      </c>
      <c r="X27" s="19">
        <v>6500.0</v>
      </c>
      <c r="Y27" s="19">
        <v>6500.0</v>
      </c>
      <c r="Z27" s="10">
        <f t="shared" si="1"/>
        <v>913</v>
      </c>
      <c r="AA27" s="15">
        <f t="shared" si="2"/>
        <v>0</v>
      </c>
      <c r="AB27" s="19" t="s">
        <v>39</v>
      </c>
      <c r="AC27" s="17" t="s">
        <v>194</v>
      </c>
    </row>
    <row r="28">
      <c r="A28" s="17">
        <v>26.0</v>
      </c>
      <c r="B28" s="20">
        <v>46113.0</v>
      </c>
      <c r="C28" s="17" t="s">
        <v>195</v>
      </c>
      <c r="D28" s="17" t="s">
        <v>196</v>
      </c>
      <c r="E28" s="19" t="s">
        <v>102</v>
      </c>
      <c r="F28" s="17" t="s">
        <v>111</v>
      </c>
      <c r="G28" s="17" t="s">
        <v>197</v>
      </c>
      <c r="H28" s="19">
        <v>9.638323646E9</v>
      </c>
      <c r="I28" s="19">
        <v>8.320421576E9</v>
      </c>
      <c r="J28" s="19" t="s">
        <v>33</v>
      </c>
      <c r="K28" s="19">
        <v>812.0</v>
      </c>
      <c r="L28" s="20">
        <v>46419.0</v>
      </c>
      <c r="M28" s="19" t="s">
        <v>107</v>
      </c>
      <c r="N28" s="21" t="s">
        <v>58</v>
      </c>
      <c r="O28" s="19" t="s">
        <v>198</v>
      </c>
      <c r="P28" s="19" t="s">
        <v>60</v>
      </c>
      <c r="Q28" s="17" t="s">
        <v>38</v>
      </c>
      <c r="R28" s="22">
        <v>46844.0</v>
      </c>
      <c r="S28" s="22">
        <v>46120.0</v>
      </c>
      <c r="T28" s="19" t="s">
        <v>199</v>
      </c>
      <c r="U28" s="19" t="s">
        <v>33</v>
      </c>
      <c r="V28" s="19">
        <v>6450.0</v>
      </c>
      <c r="W28" s="19">
        <v>7611.0</v>
      </c>
      <c r="X28" s="19">
        <v>6500.0</v>
      </c>
      <c r="Y28" s="19">
        <v>6500.0</v>
      </c>
      <c r="Z28" s="10">
        <f t="shared" si="1"/>
        <v>1111</v>
      </c>
      <c r="AA28" s="15">
        <f t="shared" si="2"/>
        <v>0</v>
      </c>
      <c r="AB28" s="19" t="s">
        <v>39</v>
      </c>
      <c r="AC28" s="17" t="s">
        <v>200</v>
      </c>
    </row>
    <row r="29">
      <c r="A29" s="17">
        <v>27.0</v>
      </c>
      <c r="B29" s="20">
        <v>46113.0</v>
      </c>
      <c r="C29" s="17" t="s">
        <v>201</v>
      </c>
      <c r="D29" s="17" t="s">
        <v>202</v>
      </c>
      <c r="E29" s="19" t="s">
        <v>102</v>
      </c>
      <c r="F29" s="17" t="s">
        <v>111</v>
      </c>
      <c r="G29" s="17" t="s">
        <v>203</v>
      </c>
      <c r="H29" s="19">
        <v>9.998254533E9</v>
      </c>
      <c r="I29" s="19">
        <v>9.974271192E9</v>
      </c>
      <c r="J29" s="19" t="s">
        <v>33</v>
      </c>
      <c r="K29" s="19">
        <v>818.0</v>
      </c>
      <c r="L29" s="20">
        <v>46419.0</v>
      </c>
      <c r="M29" s="19" t="s">
        <v>107</v>
      </c>
      <c r="N29" s="21" t="s">
        <v>58</v>
      </c>
      <c r="O29" s="19" t="s">
        <v>36</v>
      </c>
      <c r="P29" s="19" t="s">
        <v>60</v>
      </c>
      <c r="Q29" s="17" t="s">
        <v>38</v>
      </c>
      <c r="R29" s="25">
        <v>46966.0</v>
      </c>
      <c r="S29" s="22">
        <v>46151.0</v>
      </c>
      <c r="T29" s="19" t="s">
        <v>33</v>
      </c>
      <c r="U29" s="19" t="s">
        <v>33</v>
      </c>
      <c r="V29" s="19">
        <v>6497.0</v>
      </c>
      <c r="W29" s="19">
        <v>7667.0</v>
      </c>
      <c r="X29" s="19">
        <v>6500.0</v>
      </c>
      <c r="Y29" s="19">
        <v>6500.0</v>
      </c>
      <c r="Z29" s="10">
        <f t="shared" si="1"/>
        <v>1167</v>
      </c>
      <c r="AA29" s="15">
        <f t="shared" si="2"/>
        <v>0</v>
      </c>
      <c r="AB29" s="19" t="s">
        <v>39</v>
      </c>
      <c r="AC29" s="17" t="s">
        <v>204</v>
      </c>
    </row>
    <row r="30">
      <c r="A30" s="17">
        <v>28.0</v>
      </c>
      <c r="B30" s="20">
        <v>46113.0</v>
      </c>
      <c r="C30" s="17" t="s">
        <v>205</v>
      </c>
      <c r="D30" s="17" t="s">
        <v>206</v>
      </c>
      <c r="E30" s="19" t="s">
        <v>102</v>
      </c>
      <c r="F30" s="17" t="s">
        <v>111</v>
      </c>
      <c r="G30" s="17" t="s">
        <v>207</v>
      </c>
      <c r="H30" s="19">
        <v>9.726503007E9</v>
      </c>
      <c r="I30" s="19">
        <v>8.980346028E9</v>
      </c>
      <c r="J30" s="19" t="s">
        <v>33</v>
      </c>
      <c r="K30" s="19">
        <v>818.0</v>
      </c>
      <c r="L30" s="19" t="s">
        <v>208</v>
      </c>
      <c r="M30" s="19" t="s">
        <v>107</v>
      </c>
      <c r="N30" s="21" t="s">
        <v>58</v>
      </c>
      <c r="O30" s="19" t="s">
        <v>209</v>
      </c>
      <c r="P30" s="19" t="s">
        <v>60</v>
      </c>
      <c r="Q30" s="17" t="s">
        <v>38</v>
      </c>
      <c r="R30" s="19" t="s">
        <v>210</v>
      </c>
      <c r="S30" s="19" t="s">
        <v>211</v>
      </c>
      <c r="T30" s="19" t="s">
        <v>212</v>
      </c>
      <c r="U30" s="19" t="s">
        <v>33</v>
      </c>
      <c r="V30" s="19">
        <v>7073.0</v>
      </c>
      <c r="W30" s="19">
        <v>8347.0</v>
      </c>
      <c r="X30" s="19">
        <v>7500.0</v>
      </c>
      <c r="Y30" s="19">
        <v>7500.0</v>
      </c>
      <c r="Z30" s="10">
        <f t="shared" si="1"/>
        <v>847</v>
      </c>
      <c r="AA30" s="15">
        <f t="shared" si="2"/>
        <v>0</v>
      </c>
      <c r="AB30" s="19" t="s">
        <v>39</v>
      </c>
      <c r="AC30" s="17" t="s">
        <v>213</v>
      </c>
    </row>
    <row r="31">
      <c r="A31" s="17">
        <v>29.0</v>
      </c>
      <c r="B31" s="20">
        <v>46113.0</v>
      </c>
      <c r="C31" s="17" t="s">
        <v>214</v>
      </c>
      <c r="D31" s="17" t="s">
        <v>215</v>
      </c>
      <c r="E31" s="19" t="s">
        <v>52</v>
      </c>
      <c r="F31" s="17" t="s">
        <v>216</v>
      </c>
      <c r="G31" s="17" t="s">
        <v>217</v>
      </c>
      <c r="H31" s="19">
        <v>6.354459557E9</v>
      </c>
      <c r="I31" s="19">
        <v>9.925916846E9</v>
      </c>
      <c r="J31" s="19" t="s">
        <v>33</v>
      </c>
      <c r="K31" s="19">
        <v>3460.0</v>
      </c>
      <c r="L31" s="20">
        <v>46447.0</v>
      </c>
      <c r="M31" s="19" t="s">
        <v>57</v>
      </c>
      <c r="N31" s="21" t="s">
        <v>58</v>
      </c>
      <c r="O31" s="19" t="s">
        <v>93</v>
      </c>
      <c r="P31" s="19" t="s">
        <v>60</v>
      </c>
      <c r="Q31" s="17" t="s">
        <v>38</v>
      </c>
      <c r="R31" s="25">
        <v>46327.0</v>
      </c>
      <c r="S31" s="19" t="s">
        <v>218</v>
      </c>
      <c r="T31" s="19" t="s">
        <v>33</v>
      </c>
      <c r="U31" s="19" t="s">
        <v>33</v>
      </c>
      <c r="V31" s="23">
        <v>20269.0</v>
      </c>
      <c r="W31" s="23">
        <v>21819.0</v>
      </c>
      <c r="X31" s="19">
        <v>14884.0</v>
      </c>
      <c r="Y31" s="19">
        <v>14800.0</v>
      </c>
      <c r="Z31" s="14">
        <f t="shared" si="1"/>
        <v>7019</v>
      </c>
      <c r="AA31" s="15">
        <f t="shared" si="2"/>
        <v>-84</v>
      </c>
      <c r="AB31" s="19" t="s">
        <v>39</v>
      </c>
      <c r="AC31" s="17" t="s">
        <v>219</v>
      </c>
    </row>
    <row r="32">
      <c r="A32" s="17">
        <v>30.0</v>
      </c>
      <c r="B32" s="20">
        <v>46113.0</v>
      </c>
      <c r="C32" s="17" t="s">
        <v>220</v>
      </c>
      <c r="D32" s="17" t="s">
        <v>221</v>
      </c>
      <c r="E32" s="19" t="s">
        <v>167</v>
      </c>
      <c r="F32" s="17" t="s">
        <v>222</v>
      </c>
      <c r="G32" s="17" t="s">
        <v>223</v>
      </c>
      <c r="H32" s="19">
        <v>9.727046336E9</v>
      </c>
      <c r="I32" s="19"/>
      <c r="J32" s="19" t="s">
        <v>33</v>
      </c>
      <c r="K32" s="19">
        <v>995.0</v>
      </c>
      <c r="L32" s="20">
        <v>46508.0</v>
      </c>
      <c r="M32" s="19" t="s">
        <v>224</v>
      </c>
      <c r="N32" s="21" t="s">
        <v>58</v>
      </c>
      <c r="O32" s="19" t="s">
        <v>66</v>
      </c>
      <c r="P32" s="19" t="s">
        <v>79</v>
      </c>
      <c r="Q32" s="17" t="s">
        <v>38</v>
      </c>
      <c r="R32" s="25">
        <v>46235.0</v>
      </c>
      <c r="S32" s="22">
        <v>45870.0</v>
      </c>
      <c r="T32" s="19" t="s">
        <v>33</v>
      </c>
      <c r="U32" s="19" t="s">
        <v>33</v>
      </c>
      <c r="V32" s="23">
        <v>5576.0</v>
      </c>
      <c r="W32" s="24">
        <v>5988.0</v>
      </c>
      <c r="X32" s="19">
        <v>5000.0</v>
      </c>
      <c r="Y32" s="19">
        <v>5000.0</v>
      </c>
      <c r="Z32" s="15">
        <f t="shared" si="1"/>
        <v>988</v>
      </c>
      <c r="AA32" s="15">
        <f t="shared" si="2"/>
        <v>0</v>
      </c>
      <c r="AB32" s="19" t="s">
        <v>39</v>
      </c>
      <c r="AC32" s="17" t="s">
        <v>225</v>
      </c>
    </row>
    <row r="33">
      <c r="A33" s="17">
        <v>31.0</v>
      </c>
      <c r="B33" s="20">
        <v>46113.0</v>
      </c>
      <c r="C33" s="17" t="s">
        <v>226</v>
      </c>
      <c r="D33" s="17" t="s">
        <v>227</v>
      </c>
      <c r="E33" s="19" t="s">
        <v>30</v>
      </c>
      <c r="F33" s="17" t="s">
        <v>228</v>
      </c>
      <c r="G33" s="17" t="s">
        <v>229</v>
      </c>
      <c r="H33" s="19">
        <v>9.723522461E9</v>
      </c>
      <c r="I33" s="19">
        <v>9.723122461E9</v>
      </c>
      <c r="J33" s="19" t="s">
        <v>33</v>
      </c>
      <c r="K33" s="19">
        <v>1495.0</v>
      </c>
      <c r="L33" s="20">
        <v>46478.0</v>
      </c>
      <c r="M33" s="19" t="s">
        <v>78</v>
      </c>
      <c r="N33" s="21" t="s">
        <v>46</v>
      </c>
      <c r="O33" s="19" t="s">
        <v>36</v>
      </c>
      <c r="P33" s="19" t="s">
        <v>37</v>
      </c>
      <c r="Q33" s="17" t="s">
        <v>38</v>
      </c>
      <c r="R33" s="25">
        <v>46180.0</v>
      </c>
      <c r="S33" s="19" t="s">
        <v>230</v>
      </c>
      <c r="T33" s="19" t="s">
        <v>33</v>
      </c>
      <c r="U33" s="19" t="s">
        <v>33</v>
      </c>
      <c r="V33" s="19">
        <v>4107.0</v>
      </c>
      <c r="W33" s="19">
        <v>4847.0</v>
      </c>
      <c r="X33" s="19">
        <v>4800.0</v>
      </c>
      <c r="Y33" s="19">
        <v>4800.0</v>
      </c>
      <c r="Z33" s="10">
        <f t="shared" si="1"/>
        <v>47</v>
      </c>
      <c r="AA33" s="15">
        <f t="shared" si="2"/>
        <v>0</v>
      </c>
      <c r="AB33" s="19" t="s">
        <v>39</v>
      </c>
      <c r="AC33" s="17" t="s">
        <v>231</v>
      </c>
    </row>
    <row r="34">
      <c r="A34" s="17">
        <v>32.0</v>
      </c>
      <c r="B34" s="20">
        <v>46113.0</v>
      </c>
      <c r="C34" s="17" t="s">
        <v>232</v>
      </c>
      <c r="D34" s="17" t="s">
        <v>233</v>
      </c>
      <c r="E34" s="19" t="s">
        <v>234</v>
      </c>
      <c r="F34" s="17" t="s">
        <v>235</v>
      </c>
      <c r="G34" s="17" t="s">
        <v>236</v>
      </c>
      <c r="H34" s="19">
        <v>9.913340493E9</v>
      </c>
      <c r="I34" s="19">
        <v>8.980138607E9</v>
      </c>
      <c r="J34" s="19" t="s">
        <v>33</v>
      </c>
      <c r="K34" s="19">
        <v>2940.0</v>
      </c>
      <c r="L34" s="20">
        <v>46447.0</v>
      </c>
      <c r="M34" s="19" t="s">
        <v>107</v>
      </c>
      <c r="N34" s="21" t="s">
        <v>46</v>
      </c>
      <c r="O34" s="19" t="s">
        <v>198</v>
      </c>
      <c r="P34" s="19" t="s">
        <v>60</v>
      </c>
      <c r="Q34" s="17" t="s">
        <v>38</v>
      </c>
      <c r="R34" s="25">
        <v>46569.0</v>
      </c>
      <c r="S34" s="19" t="s">
        <v>237</v>
      </c>
      <c r="T34" s="19" t="s">
        <v>33</v>
      </c>
      <c r="U34" s="19" t="s">
        <v>33</v>
      </c>
      <c r="V34" s="19">
        <v>7317.0</v>
      </c>
      <c r="W34" s="19">
        <v>8635.0</v>
      </c>
      <c r="X34" s="19">
        <v>8600.0</v>
      </c>
      <c r="Y34" s="19">
        <v>8000.0</v>
      </c>
      <c r="Z34" s="10">
        <f t="shared" si="1"/>
        <v>635</v>
      </c>
      <c r="AA34" s="15">
        <f t="shared" si="2"/>
        <v>-600</v>
      </c>
      <c r="AB34" s="19" t="s">
        <v>39</v>
      </c>
      <c r="AC34" s="17" t="s">
        <v>238</v>
      </c>
    </row>
    <row r="35">
      <c r="A35" s="17">
        <v>33.0</v>
      </c>
      <c r="B35" s="20">
        <v>46113.0</v>
      </c>
      <c r="C35" s="17" t="s">
        <v>239</v>
      </c>
      <c r="D35" s="17" t="s">
        <v>240</v>
      </c>
      <c r="E35" s="19" t="s">
        <v>88</v>
      </c>
      <c r="F35" s="17" t="s">
        <v>241</v>
      </c>
      <c r="G35" s="17" t="s">
        <v>242</v>
      </c>
      <c r="H35" s="19">
        <v>9.727847275E9</v>
      </c>
      <c r="I35" s="19" t="s">
        <v>33</v>
      </c>
      <c r="J35" s="19" t="s">
        <v>33</v>
      </c>
      <c r="K35" s="19">
        <v>12990.0</v>
      </c>
      <c r="L35" s="20">
        <v>46447.0</v>
      </c>
      <c r="M35" s="19" t="s">
        <v>92</v>
      </c>
      <c r="N35" s="21" t="s">
        <v>46</v>
      </c>
      <c r="O35" s="19" t="s">
        <v>153</v>
      </c>
      <c r="P35" s="19" t="s">
        <v>79</v>
      </c>
      <c r="Q35" s="17" t="s">
        <v>38</v>
      </c>
      <c r="R35" s="19" t="s">
        <v>243</v>
      </c>
      <c r="S35" s="22">
        <v>46029.0</v>
      </c>
      <c r="T35" s="22">
        <v>45908.0</v>
      </c>
      <c r="U35" s="19" t="s">
        <v>33</v>
      </c>
      <c r="V35" s="19">
        <v>35463.0</v>
      </c>
      <c r="W35" s="19">
        <v>37256.0</v>
      </c>
      <c r="X35" s="19">
        <v>24000.0</v>
      </c>
      <c r="Y35" s="19">
        <v>24000.0</v>
      </c>
      <c r="Z35" s="10">
        <f t="shared" si="1"/>
        <v>13256</v>
      </c>
      <c r="AA35" s="15">
        <f t="shared" si="2"/>
        <v>0</v>
      </c>
      <c r="AB35" s="19" t="s">
        <v>39</v>
      </c>
      <c r="AC35" s="17" t="s">
        <v>244</v>
      </c>
    </row>
    <row r="36">
      <c r="A36" s="7">
        <v>34.0</v>
      </c>
      <c r="B36" s="20">
        <v>46113.0</v>
      </c>
      <c r="C36" s="17" t="s">
        <v>245</v>
      </c>
      <c r="D36" s="17" t="s">
        <v>246</v>
      </c>
      <c r="E36" s="19" t="s">
        <v>52</v>
      </c>
      <c r="F36" s="17" t="s">
        <v>247</v>
      </c>
      <c r="G36" s="17" t="s">
        <v>248</v>
      </c>
      <c r="H36" s="19">
        <v>9.624873389E9</v>
      </c>
      <c r="I36" s="19">
        <v>6.353547946E9</v>
      </c>
      <c r="J36" s="19" t="s">
        <v>33</v>
      </c>
      <c r="K36" s="19">
        <v>1600.0</v>
      </c>
      <c r="L36" s="20">
        <v>46631.0</v>
      </c>
      <c r="M36" s="19" t="s">
        <v>189</v>
      </c>
      <c r="N36" s="21" t="s">
        <v>58</v>
      </c>
      <c r="O36" s="19" t="s">
        <v>66</v>
      </c>
      <c r="P36" s="19" t="s">
        <v>79</v>
      </c>
      <c r="Q36" s="17" t="s">
        <v>38</v>
      </c>
      <c r="R36" s="19" t="s">
        <v>249</v>
      </c>
      <c r="S36" s="19" t="s">
        <v>33</v>
      </c>
      <c r="T36" s="19" t="s">
        <v>33</v>
      </c>
      <c r="U36" s="19" t="s">
        <v>33</v>
      </c>
      <c r="V36" s="19">
        <v>16701.0</v>
      </c>
      <c r="W36" s="19">
        <v>17621.0</v>
      </c>
      <c r="X36" s="19">
        <v>11783.0</v>
      </c>
      <c r="Y36" s="19">
        <v>12000.0</v>
      </c>
      <c r="Z36" s="10">
        <f t="shared" si="1"/>
        <v>5621</v>
      </c>
      <c r="AA36" s="15">
        <f t="shared" si="2"/>
        <v>217</v>
      </c>
      <c r="AB36" s="19" t="s">
        <v>39</v>
      </c>
      <c r="AC36" s="17" t="s">
        <v>250</v>
      </c>
    </row>
    <row r="37">
      <c r="A37" s="7">
        <v>35.0</v>
      </c>
      <c r="B37" s="20">
        <v>46113.0</v>
      </c>
      <c r="C37" s="17" t="s">
        <v>251</v>
      </c>
      <c r="D37" s="17" t="s">
        <v>252</v>
      </c>
      <c r="E37" s="19" t="s">
        <v>88</v>
      </c>
      <c r="F37" s="17" t="s">
        <v>253</v>
      </c>
      <c r="G37" s="17" t="s">
        <v>254</v>
      </c>
      <c r="H37" s="19">
        <v>9.825383466E9</v>
      </c>
      <c r="I37" s="19">
        <v>9.898000254E9</v>
      </c>
      <c r="J37" s="19" t="s">
        <v>33</v>
      </c>
      <c r="K37" s="19">
        <v>16020.0</v>
      </c>
      <c r="L37" s="20">
        <v>46447.0</v>
      </c>
      <c r="M37" s="19" t="s">
        <v>152</v>
      </c>
      <c r="N37" s="21" t="s">
        <v>58</v>
      </c>
      <c r="O37" s="19" t="s">
        <v>153</v>
      </c>
      <c r="P37" s="19" t="s">
        <v>79</v>
      </c>
      <c r="Q37" s="17" t="s">
        <v>38</v>
      </c>
      <c r="R37" s="25">
        <v>46174.0</v>
      </c>
      <c r="S37" s="19" t="s">
        <v>255</v>
      </c>
      <c r="T37" s="22">
        <v>46539.0</v>
      </c>
      <c r="U37" s="19" t="s">
        <v>33</v>
      </c>
      <c r="V37" s="23">
        <v>54248.09</v>
      </c>
      <c r="W37" s="19">
        <v>59422.0</v>
      </c>
      <c r="X37" s="19">
        <v>50408.0</v>
      </c>
      <c r="Y37" s="19">
        <v>51000.0</v>
      </c>
      <c r="Z37" s="10">
        <f t="shared" si="1"/>
        <v>8422</v>
      </c>
      <c r="AA37" s="15">
        <f t="shared" si="2"/>
        <v>592</v>
      </c>
      <c r="AB37" s="19" t="s">
        <v>39</v>
      </c>
      <c r="AC37" s="17" t="s">
        <v>256</v>
      </c>
    </row>
    <row r="38">
      <c r="A38" s="7">
        <v>36.0</v>
      </c>
      <c r="B38" s="20">
        <v>46113.0</v>
      </c>
      <c r="C38" s="17" t="s">
        <v>257</v>
      </c>
      <c r="D38" s="17" t="s">
        <v>258</v>
      </c>
      <c r="E38" s="19" t="s">
        <v>167</v>
      </c>
      <c r="F38" s="17" t="s">
        <v>168</v>
      </c>
      <c r="G38" s="17" t="s">
        <v>259</v>
      </c>
      <c r="H38" s="19">
        <v>7.567540024E9</v>
      </c>
      <c r="I38" s="19">
        <v>9.913564016E9</v>
      </c>
      <c r="J38" s="19" t="s">
        <v>33</v>
      </c>
      <c r="K38" s="19">
        <v>990.0</v>
      </c>
      <c r="L38" s="20">
        <v>46447.0</v>
      </c>
      <c r="M38" s="19" t="s">
        <v>152</v>
      </c>
      <c r="N38" s="21" t="s">
        <v>58</v>
      </c>
      <c r="O38" s="19" t="s">
        <v>66</v>
      </c>
      <c r="P38" s="19" t="s">
        <v>79</v>
      </c>
      <c r="Q38" s="17" t="s">
        <v>38</v>
      </c>
      <c r="R38" s="19" t="s">
        <v>260</v>
      </c>
      <c r="S38" s="22">
        <v>46388.0</v>
      </c>
      <c r="T38" s="19" t="s">
        <v>33</v>
      </c>
      <c r="U38" s="19" t="s">
        <v>33</v>
      </c>
      <c r="V38" s="23">
        <v>5077.27</v>
      </c>
      <c r="W38" s="19">
        <v>5407.0</v>
      </c>
      <c r="X38" s="19">
        <v>5000.0</v>
      </c>
      <c r="Y38" s="19">
        <v>5000.0</v>
      </c>
      <c r="Z38" s="10">
        <f t="shared" si="1"/>
        <v>407</v>
      </c>
      <c r="AA38" s="15">
        <f t="shared" si="2"/>
        <v>0</v>
      </c>
      <c r="AB38" s="19" t="s">
        <v>39</v>
      </c>
      <c r="AC38" s="17" t="s">
        <v>261</v>
      </c>
    </row>
    <row r="39">
      <c r="A39" s="7">
        <v>37.0</v>
      </c>
      <c r="B39" s="20">
        <v>46113.0</v>
      </c>
      <c r="C39" s="17" t="s">
        <v>262</v>
      </c>
      <c r="D39" s="17" t="s">
        <v>263</v>
      </c>
      <c r="E39" s="19" t="s">
        <v>167</v>
      </c>
      <c r="F39" s="17" t="s">
        <v>264</v>
      </c>
      <c r="G39" s="17" t="s">
        <v>265</v>
      </c>
      <c r="H39" s="19">
        <v>7.567703873E9</v>
      </c>
      <c r="I39" s="19">
        <v>9.714231016E9</v>
      </c>
      <c r="J39" s="19" t="s">
        <v>33</v>
      </c>
      <c r="K39" s="19">
        <v>995.0</v>
      </c>
      <c r="L39" s="20">
        <v>46447.0</v>
      </c>
      <c r="M39" s="19" t="s">
        <v>152</v>
      </c>
      <c r="N39" s="21" t="s">
        <v>58</v>
      </c>
      <c r="O39" s="19" t="s">
        <v>153</v>
      </c>
      <c r="P39" s="19" t="s">
        <v>79</v>
      </c>
      <c r="Q39" s="17" t="s">
        <v>38</v>
      </c>
      <c r="R39" s="25">
        <v>46122.0</v>
      </c>
      <c r="S39" s="22">
        <v>45757.0</v>
      </c>
      <c r="T39" s="19" t="s">
        <v>33</v>
      </c>
      <c r="U39" s="19" t="s">
        <v>33</v>
      </c>
      <c r="V39" s="23">
        <v>5552.54</v>
      </c>
      <c r="W39" s="19">
        <v>5968.0</v>
      </c>
      <c r="X39" s="19">
        <v>5000.0</v>
      </c>
      <c r="Y39" s="19">
        <v>5000.0</v>
      </c>
      <c r="Z39" s="10">
        <f t="shared" si="1"/>
        <v>968</v>
      </c>
      <c r="AA39" s="15">
        <f t="shared" si="2"/>
        <v>0</v>
      </c>
      <c r="AB39" s="19" t="s">
        <v>39</v>
      </c>
      <c r="AC39" s="17" t="s">
        <v>266</v>
      </c>
    </row>
    <row r="40">
      <c r="A40" s="7">
        <v>38.0</v>
      </c>
      <c r="B40" s="20">
        <v>46143.0</v>
      </c>
      <c r="C40" s="17" t="s">
        <v>267</v>
      </c>
      <c r="D40" s="17" t="s">
        <v>268</v>
      </c>
      <c r="E40" s="19" t="s">
        <v>269</v>
      </c>
      <c r="F40" s="17" t="s">
        <v>270</v>
      </c>
      <c r="G40" s="17" t="s">
        <v>271</v>
      </c>
      <c r="H40" s="19">
        <v>8.320347922E9</v>
      </c>
      <c r="I40" s="19">
        <v>9.727527425E9</v>
      </c>
      <c r="J40" s="19" t="s">
        <v>105</v>
      </c>
      <c r="K40" s="19">
        <v>9600.0</v>
      </c>
      <c r="L40" s="20">
        <v>46478.0</v>
      </c>
      <c r="M40" s="19" t="s">
        <v>92</v>
      </c>
      <c r="N40" s="21" t="s">
        <v>46</v>
      </c>
      <c r="O40" s="19" t="s">
        <v>66</v>
      </c>
      <c r="P40" s="19" t="s">
        <v>79</v>
      </c>
      <c r="Q40" s="17" t="s">
        <v>38</v>
      </c>
      <c r="R40" s="25">
        <v>46478.0</v>
      </c>
      <c r="S40" s="19" t="s">
        <v>272</v>
      </c>
      <c r="T40" s="22">
        <v>47130.0</v>
      </c>
      <c r="U40" s="19" t="s">
        <v>33</v>
      </c>
      <c r="V40" s="19">
        <v>27885.0</v>
      </c>
      <c r="W40" s="19">
        <v>29370.0</v>
      </c>
      <c r="X40" s="19">
        <v>21000.0</v>
      </c>
      <c r="Y40" s="19">
        <v>21300.0</v>
      </c>
      <c r="Z40" s="10">
        <f t="shared" si="1"/>
        <v>8070</v>
      </c>
      <c r="AA40" s="15">
        <f t="shared" si="2"/>
        <v>300</v>
      </c>
      <c r="AB40" s="19" t="s">
        <v>39</v>
      </c>
      <c r="AC40" s="17" t="s">
        <v>273</v>
      </c>
    </row>
    <row r="41">
      <c r="A41" s="17">
        <v>39.0</v>
      </c>
      <c r="B41" s="20">
        <v>46143.0</v>
      </c>
      <c r="C41" s="17" t="s">
        <v>274</v>
      </c>
      <c r="D41" s="17" t="s">
        <v>275</v>
      </c>
      <c r="E41" s="19" t="s">
        <v>88</v>
      </c>
      <c r="F41" s="17" t="s">
        <v>276</v>
      </c>
      <c r="G41" s="17" t="s">
        <v>277</v>
      </c>
      <c r="H41" s="19">
        <v>9.586947033E9</v>
      </c>
      <c r="I41" s="19" t="s">
        <v>33</v>
      </c>
      <c r="J41" s="19" t="s">
        <v>33</v>
      </c>
      <c r="K41" s="19">
        <v>28000.0</v>
      </c>
      <c r="L41" s="20">
        <v>46447.0</v>
      </c>
      <c r="M41" s="19" t="s">
        <v>57</v>
      </c>
      <c r="N41" s="21" t="s">
        <v>58</v>
      </c>
      <c r="O41" s="19" t="s">
        <v>36</v>
      </c>
      <c r="P41" s="19" t="s">
        <v>60</v>
      </c>
      <c r="Q41" s="17" t="s">
        <v>38</v>
      </c>
      <c r="R41" s="19" t="s">
        <v>278</v>
      </c>
      <c r="S41" s="19" t="s">
        <v>146</v>
      </c>
      <c r="T41" s="19" t="s">
        <v>279</v>
      </c>
      <c r="U41" s="19" t="s">
        <v>33</v>
      </c>
      <c r="V41" s="23">
        <v>47892.0</v>
      </c>
      <c r="W41" s="23">
        <v>50786.0</v>
      </c>
      <c r="X41" s="24">
        <v>40600.0</v>
      </c>
      <c r="Y41" s="24">
        <v>40000.0</v>
      </c>
      <c r="Z41" s="14">
        <f t="shared" si="1"/>
        <v>10786</v>
      </c>
      <c r="AA41" s="15">
        <f t="shared" si="2"/>
        <v>-600</v>
      </c>
      <c r="AB41" s="19" t="s">
        <v>39</v>
      </c>
      <c r="AC41" s="17" t="s">
        <v>280</v>
      </c>
    </row>
    <row r="42">
      <c r="A42" s="26">
        <v>40.0</v>
      </c>
      <c r="B42" s="30">
        <v>46143.0</v>
      </c>
      <c r="C42" s="26" t="s">
        <v>281</v>
      </c>
      <c r="D42" s="26" t="s">
        <v>282</v>
      </c>
      <c r="E42" s="29" t="s">
        <v>30</v>
      </c>
      <c r="F42" s="26" t="s">
        <v>283</v>
      </c>
      <c r="G42" s="26" t="s">
        <v>284</v>
      </c>
      <c r="H42" s="29">
        <v>7.043876276E9</v>
      </c>
      <c r="I42" s="29">
        <v>9.879009638E9</v>
      </c>
      <c r="J42" s="29" t="s">
        <v>33</v>
      </c>
      <c r="K42" s="29">
        <v>1199.0</v>
      </c>
      <c r="L42" s="30">
        <v>46478.0</v>
      </c>
      <c r="M42" s="29" t="s">
        <v>285</v>
      </c>
      <c r="N42" s="31" t="s">
        <v>35</v>
      </c>
      <c r="O42" s="29" t="s">
        <v>129</v>
      </c>
      <c r="P42" s="29" t="s">
        <v>37</v>
      </c>
      <c r="Q42" s="26" t="s">
        <v>38</v>
      </c>
      <c r="R42" s="42">
        <v>50861.0</v>
      </c>
      <c r="S42" s="29" t="s">
        <v>286</v>
      </c>
      <c r="T42" s="29" t="s">
        <v>33</v>
      </c>
      <c r="U42" s="29" t="s">
        <v>33</v>
      </c>
      <c r="V42" s="33">
        <v>6609.0</v>
      </c>
      <c r="W42" s="33">
        <v>7799.0</v>
      </c>
      <c r="X42" s="29">
        <v>7799.0</v>
      </c>
      <c r="Y42" s="29">
        <v>8300.0</v>
      </c>
      <c r="Z42" s="34">
        <f t="shared" si="1"/>
        <v>-501</v>
      </c>
      <c r="AA42" s="15">
        <f t="shared" si="2"/>
        <v>501</v>
      </c>
      <c r="AB42" s="29" t="s">
        <v>39</v>
      </c>
      <c r="AC42" s="26" t="s">
        <v>287</v>
      </c>
    </row>
    <row r="43">
      <c r="A43" s="26">
        <v>41.0</v>
      </c>
      <c r="B43" s="20">
        <v>46174.0</v>
      </c>
      <c r="C43" s="17" t="s">
        <v>288</v>
      </c>
      <c r="D43" s="17" t="s">
        <v>289</v>
      </c>
      <c r="E43" s="19" t="s">
        <v>30</v>
      </c>
      <c r="F43" s="17" t="s">
        <v>290</v>
      </c>
      <c r="G43" s="17" t="s">
        <v>291</v>
      </c>
      <c r="H43" s="19">
        <v>9.737886021E9</v>
      </c>
      <c r="I43" s="19">
        <v>9.687156481E9</v>
      </c>
      <c r="J43" s="19" t="s">
        <v>33</v>
      </c>
      <c r="K43" s="19">
        <v>796.0</v>
      </c>
      <c r="L43" s="20">
        <v>46539.0</v>
      </c>
      <c r="M43" s="19" t="s">
        <v>78</v>
      </c>
      <c r="N43" s="21" t="s">
        <v>46</v>
      </c>
      <c r="O43" s="19" t="s">
        <v>292</v>
      </c>
      <c r="P43" s="19" t="s">
        <v>37</v>
      </c>
      <c r="Q43" s="17" t="s">
        <v>38</v>
      </c>
      <c r="R43" s="19" t="s">
        <v>293</v>
      </c>
      <c r="S43" s="19" t="s">
        <v>294</v>
      </c>
      <c r="T43" s="19" t="s">
        <v>33</v>
      </c>
      <c r="U43" s="19" t="s">
        <v>33</v>
      </c>
      <c r="V43" s="19">
        <v>2425.0</v>
      </c>
      <c r="W43" s="19">
        <v>2861.0</v>
      </c>
      <c r="X43" s="19">
        <v>2800.0</v>
      </c>
      <c r="Y43" s="19">
        <v>2800.0</v>
      </c>
      <c r="Z43" s="10">
        <f t="shared" si="1"/>
        <v>61</v>
      </c>
      <c r="AA43" s="15">
        <f t="shared" si="2"/>
        <v>0</v>
      </c>
      <c r="AB43" s="19" t="s">
        <v>39</v>
      </c>
      <c r="AC43" s="17" t="s">
        <v>295</v>
      </c>
    </row>
    <row r="44">
      <c r="A44" s="17">
        <v>42.0</v>
      </c>
      <c r="B44" s="20">
        <v>46174.0</v>
      </c>
      <c r="C44" s="17" t="s">
        <v>296</v>
      </c>
      <c r="D44" s="17" t="s">
        <v>297</v>
      </c>
      <c r="E44" s="19" t="s">
        <v>167</v>
      </c>
      <c r="F44" s="17" t="s">
        <v>222</v>
      </c>
      <c r="G44" s="17" t="s">
        <v>298</v>
      </c>
      <c r="H44" s="19">
        <v>9.909323999E9</v>
      </c>
      <c r="I44" s="19">
        <v>9.277009575E9</v>
      </c>
      <c r="J44" s="19" t="s">
        <v>105</v>
      </c>
      <c r="K44" s="19">
        <v>995.0</v>
      </c>
      <c r="L44" s="20">
        <v>46600.0</v>
      </c>
      <c r="M44" s="19" t="s">
        <v>224</v>
      </c>
      <c r="N44" s="21" t="s">
        <v>58</v>
      </c>
      <c r="O44" s="19" t="s">
        <v>66</v>
      </c>
      <c r="P44" s="19" t="s">
        <v>79</v>
      </c>
      <c r="Q44" s="17" t="s">
        <v>38</v>
      </c>
      <c r="R44" s="22">
        <v>47058.0</v>
      </c>
      <c r="S44" s="19" t="s">
        <v>299</v>
      </c>
      <c r="T44" s="19" t="s">
        <v>33</v>
      </c>
      <c r="U44" s="19" t="s">
        <v>33</v>
      </c>
      <c r="V44" s="23">
        <v>5576.0</v>
      </c>
      <c r="W44" s="23">
        <v>5988.0</v>
      </c>
      <c r="X44" s="19">
        <v>5000.0</v>
      </c>
      <c r="Y44" s="19">
        <v>4500.0</v>
      </c>
      <c r="Z44" s="14">
        <f t="shared" si="1"/>
        <v>1488</v>
      </c>
      <c r="AA44" s="15">
        <f t="shared" si="2"/>
        <v>-500</v>
      </c>
      <c r="AB44" s="19" t="s">
        <v>39</v>
      </c>
      <c r="AC44" s="17" t="s">
        <v>300</v>
      </c>
    </row>
    <row r="45">
      <c r="A45" s="17">
        <v>43.0</v>
      </c>
      <c r="B45" s="20">
        <v>46174.0</v>
      </c>
      <c r="C45" s="17" t="s">
        <v>301</v>
      </c>
      <c r="D45" s="18">
        <v>9.00924907E8</v>
      </c>
      <c r="E45" s="19" t="s">
        <v>30</v>
      </c>
      <c r="F45" s="17" t="s">
        <v>302</v>
      </c>
      <c r="G45" s="17" t="s">
        <v>303</v>
      </c>
      <c r="H45" s="19">
        <v>9.033333157E9</v>
      </c>
      <c r="I45" s="19" t="s">
        <v>33</v>
      </c>
      <c r="J45" s="19" t="s">
        <v>33</v>
      </c>
      <c r="K45" s="19">
        <v>1248.0</v>
      </c>
      <c r="L45" s="20">
        <v>46508.0</v>
      </c>
      <c r="M45" s="19" t="s">
        <v>34</v>
      </c>
      <c r="N45" s="21" t="s">
        <v>46</v>
      </c>
      <c r="O45" s="19" t="s">
        <v>66</v>
      </c>
      <c r="P45" s="19" t="s">
        <v>37</v>
      </c>
      <c r="Q45" s="17" t="s">
        <v>38</v>
      </c>
      <c r="R45" s="22">
        <v>47636.0</v>
      </c>
      <c r="S45" s="19" t="s">
        <v>304</v>
      </c>
      <c r="T45" s="19" t="s">
        <v>33</v>
      </c>
      <c r="U45" s="19" t="s">
        <v>33</v>
      </c>
      <c r="V45" s="19">
        <v>3416.0</v>
      </c>
      <c r="W45" s="19">
        <v>4031.0</v>
      </c>
      <c r="X45" s="19">
        <v>4000.0</v>
      </c>
      <c r="Y45" s="19">
        <v>4000.0</v>
      </c>
      <c r="Z45" s="10">
        <f t="shared" si="1"/>
        <v>31</v>
      </c>
      <c r="AA45" s="15">
        <f t="shared" si="2"/>
        <v>0</v>
      </c>
      <c r="AB45" s="19" t="s">
        <v>39</v>
      </c>
      <c r="AC45" s="17" t="s">
        <v>305</v>
      </c>
    </row>
    <row r="46">
      <c r="A46" s="26">
        <v>44.0</v>
      </c>
      <c r="B46" s="30">
        <v>46174.0</v>
      </c>
      <c r="C46" s="26" t="s">
        <v>306</v>
      </c>
      <c r="D46" s="26" t="s">
        <v>307</v>
      </c>
      <c r="E46" s="29" t="s">
        <v>30</v>
      </c>
      <c r="F46" s="26" t="s">
        <v>308</v>
      </c>
      <c r="G46" s="26" t="s">
        <v>309</v>
      </c>
      <c r="H46" s="29">
        <v>7.383887318E9</v>
      </c>
      <c r="I46" s="29">
        <v>9.015144444E9</v>
      </c>
      <c r="J46" s="29" t="s">
        <v>33</v>
      </c>
      <c r="K46" s="29">
        <v>1197.0</v>
      </c>
      <c r="L46" s="30">
        <v>46539.0</v>
      </c>
      <c r="M46" s="29" t="s">
        <v>78</v>
      </c>
      <c r="N46" s="31" t="s">
        <v>46</v>
      </c>
      <c r="O46" s="29" t="s">
        <v>129</v>
      </c>
      <c r="P46" s="29" t="s">
        <v>37</v>
      </c>
      <c r="Q46" s="26" t="s">
        <v>38</v>
      </c>
      <c r="R46" s="29" t="s">
        <v>310</v>
      </c>
      <c r="S46" s="32">
        <v>46360.0</v>
      </c>
      <c r="T46" s="29" t="s">
        <v>33</v>
      </c>
      <c r="U46" s="29" t="s">
        <v>33</v>
      </c>
      <c r="V46" s="33">
        <v>3476.0</v>
      </c>
      <c r="W46" s="33">
        <v>4102.0</v>
      </c>
      <c r="X46" s="29">
        <v>4000.0</v>
      </c>
      <c r="Y46" s="29">
        <v>4000.0</v>
      </c>
      <c r="Z46" s="34">
        <f t="shared" si="1"/>
        <v>102</v>
      </c>
      <c r="AA46" s="15">
        <f t="shared" si="2"/>
        <v>0</v>
      </c>
      <c r="AB46" s="29" t="s">
        <v>39</v>
      </c>
      <c r="AC46" s="26" t="s">
        <v>311</v>
      </c>
    </row>
    <row r="47">
      <c r="A47" s="35">
        <v>45.0</v>
      </c>
      <c r="B47" s="38">
        <v>46174.0</v>
      </c>
      <c r="C47" s="35" t="s">
        <v>312</v>
      </c>
      <c r="D47" s="35" t="s">
        <v>313</v>
      </c>
      <c r="E47" s="37" t="s">
        <v>88</v>
      </c>
      <c r="F47" s="35" t="s">
        <v>314</v>
      </c>
      <c r="G47" s="35" t="s">
        <v>315</v>
      </c>
      <c r="H47" s="37">
        <v>8.20001614E9</v>
      </c>
      <c r="I47" s="37">
        <v>9.909173677E9</v>
      </c>
      <c r="J47" s="37" t="s">
        <v>33</v>
      </c>
      <c r="K47" s="37">
        <v>15800.0</v>
      </c>
      <c r="L47" s="38">
        <v>46508.0</v>
      </c>
      <c r="M47" s="37" t="s">
        <v>152</v>
      </c>
      <c r="N47" s="39" t="s">
        <v>58</v>
      </c>
      <c r="O47" s="37" t="s">
        <v>66</v>
      </c>
      <c r="P47" s="37" t="s">
        <v>79</v>
      </c>
      <c r="Q47" s="35" t="s">
        <v>38</v>
      </c>
      <c r="R47" s="37" t="s">
        <v>316</v>
      </c>
      <c r="S47" s="37" t="s">
        <v>317</v>
      </c>
      <c r="T47" s="43">
        <v>47818.0</v>
      </c>
      <c r="U47" s="37" t="s">
        <v>33</v>
      </c>
      <c r="V47" s="41">
        <v>38874.04</v>
      </c>
      <c r="W47" s="37">
        <v>41281.0</v>
      </c>
      <c r="X47" s="37">
        <v>35720.0</v>
      </c>
      <c r="Y47" s="37">
        <v>35500.0</v>
      </c>
      <c r="Z47" s="44">
        <f t="shared" si="1"/>
        <v>5781</v>
      </c>
      <c r="AA47" s="15">
        <f t="shared" si="2"/>
        <v>-220</v>
      </c>
      <c r="AB47" s="37" t="s">
        <v>39</v>
      </c>
      <c r="AC47" s="35" t="s">
        <v>318</v>
      </c>
    </row>
    <row r="48">
      <c r="A48" s="17">
        <v>46.0</v>
      </c>
      <c r="B48" s="20">
        <v>46174.0</v>
      </c>
      <c r="C48" s="17" t="s">
        <v>319</v>
      </c>
      <c r="D48" s="17" t="s">
        <v>320</v>
      </c>
      <c r="E48" s="19" t="s">
        <v>88</v>
      </c>
      <c r="F48" s="17" t="s">
        <v>321</v>
      </c>
      <c r="G48" s="17" t="s">
        <v>322</v>
      </c>
      <c r="H48" s="19">
        <v>9.825765417E9</v>
      </c>
      <c r="I48" s="19" t="s">
        <v>33</v>
      </c>
      <c r="J48" s="19" t="s">
        <v>33</v>
      </c>
      <c r="K48" s="19">
        <v>35000.0</v>
      </c>
      <c r="L48" s="20">
        <v>46478.0</v>
      </c>
      <c r="M48" s="19" t="s">
        <v>92</v>
      </c>
      <c r="N48" s="21" t="s">
        <v>46</v>
      </c>
      <c r="O48" s="19" t="s">
        <v>66</v>
      </c>
      <c r="P48" s="19" t="s">
        <v>79</v>
      </c>
      <c r="Q48" s="17" t="s">
        <v>38</v>
      </c>
      <c r="R48" s="22">
        <v>46296.0</v>
      </c>
      <c r="S48" s="19" t="s">
        <v>323</v>
      </c>
      <c r="T48" s="19" t="s">
        <v>324</v>
      </c>
      <c r="U48" s="19" t="s">
        <v>33</v>
      </c>
      <c r="V48" s="23">
        <v>44060.0</v>
      </c>
      <c r="W48" s="23">
        <v>46277.0</v>
      </c>
      <c r="X48" s="19">
        <v>29000.0</v>
      </c>
      <c r="Y48" s="24">
        <v>29000.0</v>
      </c>
      <c r="Z48" s="14">
        <f t="shared" si="1"/>
        <v>17277</v>
      </c>
      <c r="AA48" s="15">
        <f t="shared" si="2"/>
        <v>0</v>
      </c>
      <c r="AB48" s="19" t="s">
        <v>39</v>
      </c>
      <c r="AC48" s="17" t="s">
        <v>325</v>
      </c>
    </row>
    <row r="49" ht="21.75" customHeight="1">
      <c r="A49" s="35">
        <v>47.0</v>
      </c>
      <c r="B49" s="38">
        <v>46174.0</v>
      </c>
      <c r="C49" s="35" t="s">
        <v>326</v>
      </c>
      <c r="D49" s="35" t="s">
        <v>327</v>
      </c>
      <c r="E49" s="37" t="s">
        <v>88</v>
      </c>
      <c r="F49" s="35" t="s">
        <v>328</v>
      </c>
      <c r="G49" s="35" t="s">
        <v>329</v>
      </c>
      <c r="H49" s="37">
        <v>9.664548929E9</v>
      </c>
      <c r="I49" s="37">
        <v>9.913234823E9</v>
      </c>
      <c r="J49" s="37" t="s">
        <v>33</v>
      </c>
      <c r="K49" s="37">
        <v>13850.0</v>
      </c>
      <c r="L49" s="38">
        <v>46539.0</v>
      </c>
      <c r="M49" s="37" t="s">
        <v>152</v>
      </c>
      <c r="N49" s="39" t="s">
        <v>58</v>
      </c>
      <c r="O49" s="37" t="s">
        <v>66</v>
      </c>
      <c r="P49" s="37" t="s">
        <v>79</v>
      </c>
      <c r="Q49" s="35" t="s">
        <v>38</v>
      </c>
      <c r="R49" s="43">
        <v>46184.0</v>
      </c>
      <c r="S49" s="43">
        <v>46123.0</v>
      </c>
      <c r="T49" s="37" t="s">
        <v>330</v>
      </c>
      <c r="U49" s="37" t="s">
        <v>33</v>
      </c>
      <c r="V49" s="41">
        <v>37819.45</v>
      </c>
      <c r="W49" s="41">
        <v>40036.0</v>
      </c>
      <c r="X49" s="37">
        <v>33588.0</v>
      </c>
      <c r="Y49" s="37">
        <v>33500.0</v>
      </c>
      <c r="Z49" s="45">
        <f t="shared" si="1"/>
        <v>6536</v>
      </c>
      <c r="AA49" s="15">
        <f t="shared" si="2"/>
        <v>-88</v>
      </c>
      <c r="AB49" s="37" t="s">
        <v>39</v>
      </c>
      <c r="AC49" s="35" t="s">
        <v>331</v>
      </c>
    </row>
    <row r="50">
      <c r="A50" s="17">
        <v>48.0</v>
      </c>
      <c r="B50" s="20">
        <v>46174.0</v>
      </c>
      <c r="C50" s="17" t="s">
        <v>332</v>
      </c>
      <c r="D50" s="17" t="s">
        <v>333</v>
      </c>
      <c r="E50" s="19" t="s">
        <v>52</v>
      </c>
      <c r="F50" s="17" t="s">
        <v>334</v>
      </c>
      <c r="G50" s="17" t="s">
        <v>335</v>
      </c>
      <c r="H50" s="19">
        <v>9.725331367E9</v>
      </c>
      <c r="I50" s="19">
        <v>9.638023978E9</v>
      </c>
      <c r="J50" s="19" t="s">
        <v>33</v>
      </c>
      <c r="K50" s="19">
        <v>3490.0</v>
      </c>
      <c r="L50" s="20">
        <v>46478.0</v>
      </c>
      <c r="M50" s="19" t="s">
        <v>92</v>
      </c>
      <c r="N50" s="21" t="s">
        <v>58</v>
      </c>
      <c r="O50" s="19" t="s">
        <v>66</v>
      </c>
      <c r="P50" s="19" t="s">
        <v>60</v>
      </c>
      <c r="Q50" s="17" t="s">
        <v>38</v>
      </c>
      <c r="R50" s="19" t="s">
        <v>336</v>
      </c>
      <c r="S50" s="19" t="s">
        <v>337</v>
      </c>
      <c r="T50" s="19" t="s">
        <v>33</v>
      </c>
      <c r="U50" s="19" t="s">
        <v>33</v>
      </c>
      <c r="V50" s="23">
        <v>22352.0</v>
      </c>
      <c r="W50" s="23">
        <v>24289.0</v>
      </c>
      <c r="X50" s="19">
        <v>16495.0</v>
      </c>
      <c r="Y50" s="19">
        <v>16500.0</v>
      </c>
      <c r="Z50" s="14">
        <f t="shared" si="1"/>
        <v>7789</v>
      </c>
      <c r="AA50" s="15">
        <f t="shared" si="2"/>
        <v>5</v>
      </c>
      <c r="AB50" s="19" t="s">
        <v>39</v>
      </c>
      <c r="AC50" s="17" t="s">
        <v>338</v>
      </c>
    </row>
    <row r="51">
      <c r="A51" s="17">
        <v>49.0</v>
      </c>
      <c r="B51" s="20">
        <v>46174.0</v>
      </c>
      <c r="C51" s="17" t="s">
        <v>339</v>
      </c>
      <c r="D51" s="17" t="s">
        <v>340</v>
      </c>
      <c r="E51" s="19" t="s">
        <v>167</v>
      </c>
      <c r="F51" s="17" t="s">
        <v>168</v>
      </c>
      <c r="G51" s="17" t="s">
        <v>341</v>
      </c>
      <c r="H51" s="19">
        <v>9.624873389E9</v>
      </c>
      <c r="I51" s="19">
        <v>6.353547946E9</v>
      </c>
      <c r="J51" s="19" t="s">
        <v>33</v>
      </c>
      <c r="K51" s="19">
        <v>990.0</v>
      </c>
      <c r="L51" s="20">
        <v>46508.0</v>
      </c>
      <c r="M51" s="19" t="s">
        <v>152</v>
      </c>
      <c r="N51" s="21" t="s">
        <v>58</v>
      </c>
      <c r="O51" s="19" t="s">
        <v>66</v>
      </c>
      <c r="P51" s="19" t="s">
        <v>79</v>
      </c>
      <c r="Q51" s="17" t="s">
        <v>38</v>
      </c>
      <c r="R51" s="22">
        <v>45078.0</v>
      </c>
      <c r="S51" s="19" t="s">
        <v>33</v>
      </c>
      <c r="T51" s="19" t="s">
        <v>33</v>
      </c>
      <c r="U51" s="19" t="s">
        <v>33</v>
      </c>
      <c r="V51" s="23">
        <v>4879.24</v>
      </c>
      <c r="W51" s="19">
        <v>5174.0</v>
      </c>
      <c r="X51" s="19">
        <v>5000.0</v>
      </c>
      <c r="Y51" s="19">
        <v>5000.0</v>
      </c>
      <c r="Z51" s="10">
        <f t="shared" si="1"/>
        <v>174</v>
      </c>
      <c r="AA51" s="15">
        <f t="shared" si="2"/>
        <v>0</v>
      </c>
      <c r="AB51" s="19" t="s">
        <v>39</v>
      </c>
      <c r="AC51" s="17" t="s">
        <v>342</v>
      </c>
    </row>
    <row r="52">
      <c r="A52" s="26">
        <v>50.0</v>
      </c>
      <c r="B52" s="20">
        <v>46204.0</v>
      </c>
      <c r="C52" s="17" t="s">
        <v>343</v>
      </c>
      <c r="D52" s="17" t="s">
        <v>344</v>
      </c>
      <c r="E52" s="19" t="s">
        <v>234</v>
      </c>
      <c r="F52" s="17" t="s">
        <v>345</v>
      </c>
      <c r="G52" s="17" t="s">
        <v>346</v>
      </c>
      <c r="H52" s="19">
        <v>9.909502121E9</v>
      </c>
      <c r="I52" s="19">
        <v>9.909596056E9</v>
      </c>
      <c r="J52" s="19" t="s">
        <v>33</v>
      </c>
      <c r="K52" s="19">
        <v>3300.0</v>
      </c>
      <c r="L52" s="20">
        <v>46539.0</v>
      </c>
      <c r="M52" s="19" t="s">
        <v>57</v>
      </c>
      <c r="N52" s="21" t="s">
        <v>58</v>
      </c>
      <c r="O52" s="19" t="s">
        <v>66</v>
      </c>
      <c r="P52" s="19" t="s">
        <v>60</v>
      </c>
      <c r="Q52" s="17" t="s">
        <v>38</v>
      </c>
      <c r="R52" s="22">
        <v>46175.0</v>
      </c>
      <c r="S52" s="19" t="s">
        <v>347</v>
      </c>
      <c r="T52" s="19" t="s">
        <v>33</v>
      </c>
      <c r="U52" s="19" t="s">
        <v>33</v>
      </c>
      <c r="V52" s="23">
        <v>10448.0</v>
      </c>
      <c r="W52" s="23">
        <v>12329.0</v>
      </c>
      <c r="X52" s="19">
        <v>12329.0</v>
      </c>
      <c r="Y52" s="19">
        <v>12300.0</v>
      </c>
      <c r="Z52" s="14">
        <f t="shared" si="1"/>
        <v>29</v>
      </c>
      <c r="AA52" s="15">
        <f t="shared" si="2"/>
        <v>-29</v>
      </c>
      <c r="AB52" s="19" t="s">
        <v>39</v>
      </c>
      <c r="AC52" s="17" t="s">
        <v>348</v>
      </c>
    </row>
    <row r="53">
      <c r="A53" s="17">
        <v>51.0</v>
      </c>
      <c r="B53" s="20">
        <v>46204.0</v>
      </c>
      <c r="C53" s="17" t="s">
        <v>349</v>
      </c>
      <c r="D53" s="17" t="s">
        <v>350</v>
      </c>
      <c r="E53" s="19" t="s">
        <v>234</v>
      </c>
      <c r="F53" s="17" t="s">
        <v>345</v>
      </c>
      <c r="G53" s="17" t="s">
        <v>351</v>
      </c>
      <c r="H53" s="19">
        <v>9.909502121E9</v>
      </c>
      <c r="I53" s="19">
        <v>9.909596056E9</v>
      </c>
      <c r="J53" s="19" t="s">
        <v>33</v>
      </c>
      <c r="K53" s="19">
        <v>3300.0</v>
      </c>
      <c r="L53" s="20">
        <v>46539.0</v>
      </c>
      <c r="M53" s="19" t="s">
        <v>57</v>
      </c>
      <c r="N53" s="21" t="s">
        <v>58</v>
      </c>
      <c r="O53" s="19" t="s">
        <v>66</v>
      </c>
      <c r="P53" s="19" t="s">
        <v>60</v>
      </c>
      <c r="Q53" s="17" t="s">
        <v>38</v>
      </c>
      <c r="R53" s="25">
        <v>46175.0</v>
      </c>
      <c r="S53" s="19" t="s">
        <v>347</v>
      </c>
      <c r="T53" s="19" t="s">
        <v>33</v>
      </c>
      <c r="U53" s="19" t="s">
        <v>33</v>
      </c>
      <c r="V53" s="23">
        <v>10448.0</v>
      </c>
      <c r="W53" s="23">
        <v>12329.0</v>
      </c>
      <c r="X53" s="19">
        <v>12329.0</v>
      </c>
      <c r="Y53" s="19">
        <v>12300.0</v>
      </c>
      <c r="Z53" s="14">
        <f t="shared" si="1"/>
        <v>29</v>
      </c>
      <c r="AA53" s="15">
        <f t="shared" si="2"/>
        <v>-29</v>
      </c>
      <c r="AB53" s="19" t="s">
        <v>39</v>
      </c>
      <c r="AC53" s="17" t="s">
        <v>352</v>
      </c>
    </row>
    <row r="54">
      <c r="A54" s="17">
        <v>52.0</v>
      </c>
      <c r="B54" s="20">
        <v>46204.0</v>
      </c>
      <c r="C54" s="17" t="s">
        <v>353</v>
      </c>
      <c r="D54" s="17" t="s">
        <v>354</v>
      </c>
      <c r="E54" s="19" t="s">
        <v>88</v>
      </c>
      <c r="F54" s="17" t="s">
        <v>355</v>
      </c>
      <c r="G54" s="17" t="s">
        <v>356</v>
      </c>
      <c r="H54" s="19">
        <v>9.925851972E9</v>
      </c>
      <c r="I54" s="19">
        <v>9.913528185E9</v>
      </c>
      <c r="J54" s="19" t="s">
        <v>357</v>
      </c>
      <c r="K54" s="19">
        <v>35000.0</v>
      </c>
      <c r="L54" s="20">
        <v>46539.0</v>
      </c>
      <c r="M54" s="19" t="s">
        <v>57</v>
      </c>
      <c r="N54" s="21" t="s">
        <v>58</v>
      </c>
      <c r="O54" s="19" t="s">
        <v>129</v>
      </c>
      <c r="P54" s="19" t="s">
        <v>60</v>
      </c>
      <c r="Q54" s="17" t="s">
        <v>38</v>
      </c>
      <c r="R54" s="19" t="s">
        <v>114</v>
      </c>
      <c r="S54" s="22">
        <v>46119.0</v>
      </c>
      <c r="T54" s="19" t="s">
        <v>278</v>
      </c>
      <c r="U54" s="19" t="s">
        <v>33</v>
      </c>
      <c r="V54" s="23">
        <v>46853.0</v>
      </c>
      <c r="W54" s="23">
        <v>49560.0</v>
      </c>
      <c r="X54" s="19">
        <v>39684.0</v>
      </c>
      <c r="Y54" s="19">
        <v>40000.0</v>
      </c>
      <c r="Z54" s="14">
        <f t="shared" si="1"/>
        <v>9560</v>
      </c>
      <c r="AA54" s="15">
        <f t="shared" si="2"/>
        <v>316</v>
      </c>
      <c r="AB54" s="19" t="s">
        <v>39</v>
      </c>
      <c r="AC54" s="17" t="s">
        <v>358</v>
      </c>
    </row>
    <row r="55">
      <c r="A55" s="17">
        <v>53.0</v>
      </c>
      <c r="B55" s="20">
        <v>46204.0</v>
      </c>
      <c r="C55" s="17" t="s">
        <v>359</v>
      </c>
      <c r="D55" s="17" t="s">
        <v>360</v>
      </c>
      <c r="E55" s="19" t="s">
        <v>52</v>
      </c>
      <c r="F55" s="17" t="s">
        <v>64</v>
      </c>
      <c r="G55" s="17" t="s">
        <v>361</v>
      </c>
      <c r="H55" s="19">
        <v>8.238507263E9</v>
      </c>
      <c r="I55" s="19">
        <v>9.978975308E9</v>
      </c>
      <c r="J55" s="19" t="s">
        <v>105</v>
      </c>
      <c r="K55" s="19">
        <v>2825.0</v>
      </c>
      <c r="L55" s="20">
        <v>46508.0</v>
      </c>
      <c r="M55" s="19" t="s">
        <v>57</v>
      </c>
      <c r="N55" s="21" t="s">
        <v>58</v>
      </c>
      <c r="O55" s="19" t="s">
        <v>161</v>
      </c>
      <c r="P55" s="19" t="s">
        <v>60</v>
      </c>
      <c r="Q55" s="17" t="s">
        <v>38</v>
      </c>
      <c r="R55" s="22">
        <v>46997.0</v>
      </c>
      <c r="S55" s="22">
        <v>46600.0</v>
      </c>
      <c r="T55" s="19" t="s">
        <v>33</v>
      </c>
      <c r="U55" s="19" t="s">
        <v>33</v>
      </c>
      <c r="V55" s="23">
        <v>21681.0</v>
      </c>
      <c r="W55" s="23">
        <v>23485.0</v>
      </c>
      <c r="X55" s="19">
        <v>15093.0</v>
      </c>
      <c r="Y55" s="19">
        <v>15000.0</v>
      </c>
      <c r="Z55" s="14">
        <f t="shared" si="1"/>
        <v>8485</v>
      </c>
      <c r="AA55" s="15">
        <f t="shared" si="2"/>
        <v>-93</v>
      </c>
      <c r="AB55" s="19" t="s">
        <v>39</v>
      </c>
      <c r="AC55" s="17" t="s">
        <v>362</v>
      </c>
    </row>
    <row r="56">
      <c r="A56" s="17">
        <v>54.0</v>
      </c>
      <c r="B56" s="20">
        <v>46204.0</v>
      </c>
      <c r="C56" s="17" t="s">
        <v>363</v>
      </c>
      <c r="D56" s="17" t="s">
        <v>364</v>
      </c>
      <c r="E56" s="19" t="s">
        <v>88</v>
      </c>
      <c r="F56" s="17" t="s">
        <v>276</v>
      </c>
      <c r="G56" s="17" t="s">
        <v>365</v>
      </c>
      <c r="H56" s="19">
        <v>9.913769845E9</v>
      </c>
      <c r="I56" s="19">
        <v>9.773234841E9</v>
      </c>
      <c r="J56" s="19" t="s">
        <v>33</v>
      </c>
      <c r="K56" s="19">
        <v>35000.0</v>
      </c>
      <c r="L56" s="20">
        <v>46539.0</v>
      </c>
      <c r="M56" s="19" t="s">
        <v>57</v>
      </c>
      <c r="N56" s="21" t="s">
        <v>58</v>
      </c>
      <c r="O56" s="19" t="s">
        <v>129</v>
      </c>
      <c r="P56" s="19" t="s">
        <v>60</v>
      </c>
      <c r="Q56" s="17" t="s">
        <v>38</v>
      </c>
      <c r="R56" s="22">
        <v>46175.0</v>
      </c>
      <c r="S56" s="19" t="s">
        <v>366</v>
      </c>
      <c r="T56" s="19" t="s">
        <v>367</v>
      </c>
      <c r="U56" s="19" t="s">
        <v>33</v>
      </c>
      <c r="V56" s="24">
        <v>49428.0</v>
      </c>
      <c r="W56" s="23">
        <v>52598.0</v>
      </c>
      <c r="X56" s="19">
        <v>41949.0</v>
      </c>
      <c r="Y56" s="19">
        <v>44500.0</v>
      </c>
      <c r="Z56" s="14">
        <f t="shared" si="1"/>
        <v>8098</v>
      </c>
      <c r="AA56" s="15">
        <f t="shared" si="2"/>
        <v>2551</v>
      </c>
      <c r="AB56" s="19" t="s">
        <v>39</v>
      </c>
      <c r="AC56" s="17" t="s">
        <v>368</v>
      </c>
    </row>
    <row r="57">
      <c r="A57" s="17">
        <v>55.0</v>
      </c>
      <c r="B57" s="20">
        <v>46204.0</v>
      </c>
      <c r="C57" s="17" t="s">
        <v>369</v>
      </c>
      <c r="D57" s="17" t="s">
        <v>370</v>
      </c>
      <c r="E57" s="19" t="s">
        <v>52</v>
      </c>
      <c r="F57" s="17" t="s">
        <v>216</v>
      </c>
      <c r="G57" s="17" t="s">
        <v>371</v>
      </c>
      <c r="H57" s="19">
        <v>7.622863261E9</v>
      </c>
      <c r="I57" s="19">
        <v>9.925502006E9</v>
      </c>
      <c r="J57" s="19" t="s">
        <v>33</v>
      </c>
      <c r="K57" s="19">
        <v>3480.0</v>
      </c>
      <c r="L57" s="20">
        <v>46508.0</v>
      </c>
      <c r="M57" s="19" t="s">
        <v>57</v>
      </c>
      <c r="N57" s="21" t="s">
        <v>58</v>
      </c>
      <c r="O57" s="19" t="s">
        <v>119</v>
      </c>
      <c r="P57" s="19" t="s">
        <v>60</v>
      </c>
      <c r="Q57" s="17" t="s">
        <v>38</v>
      </c>
      <c r="R57" s="19" t="s">
        <v>48</v>
      </c>
      <c r="S57" s="19" t="s">
        <v>372</v>
      </c>
      <c r="T57" s="22">
        <v>47515.0</v>
      </c>
      <c r="U57" s="19" t="s">
        <v>33</v>
      </c>
      <c r="V57" s="23">
        <v>22271.0</v>
      </c>
      <c r="W57" s="23">
        <v>24181.0</v>
      </c>
      <c r="X57" s="19">
        <v>15304.0</v>
      </c>
      <c r="Y57" s="19">
        <v>15300.0</v>
      </c>
      <c r="Z57" s="14">
        <f t="shared" si="1"/>
        <v>8881</v>
      </c>
      <c r="AA57" s="15">
        <f t="shared" si="2"/>
        <v>-4</v>
      </c>
      <c r="AB57" s="19" t="s">
        <v>39</v>
      </c>
      <c r="AC57" s="17" t="s">
        <v>373</v>
      </c>
    </row>
    <row r="58">
      <c r="A58" s="17">
        <v>56.0</v>
      </c>
      <c r="B58" s="20">
        <v>46204.0</v>
      </c>
      <c r="C58" s="17" t="s">
        <v>374</v>
      </c>
      <c r="D58" s="17" t="s">
        <v>375</v>
      </c>
      <c r="E58" s="19" t="s">
        <v>52</v>
      </c>
      <c r="F58" s="17" t="s">
        <v>376</v>
      </c>
      <c r="G58" s="17" t="s">
        <v>377</v>
      </c>
      <c r="H58" s="19">
        <v>9.727556143E9</v>
      </c>
      <c r="I58" s="19">
        <v>7.98403673E9</v>
      </c>
      <c r="J58" s="19" t="s">
        <v>33</v>
      </c>
      <c r="K58" s="19">
        <v>3425.0</v>
      </c>
      <c r="L58" s="20">
        <v>46539.0</v>
      </c>
      <c r="M58" s="19" t="s">
        <v>57</v>
      </c>
      <c r="N58" s="21" t="s">
        <v>58</v>
      </c>
      <c r="O58" s="19" t="s">
        <v>59</v>
      </c>
      <c r="P58" s="19" t="s">
        <v>60</v>
      </c>
      <c r="Q58" s="17" t="s">
        <v>38</v>
      </c>
      <c r="R58" s="22">
        <v>46753.0</v>
      </c>
      <c r="S58" s="22">
        <v>46207.0</v>
      </c>
      <c r="T58" s="19" t="s">
        <v>33</v>
      </c>
      <c r="U58" s="19" t="s">
        <v>33</v>
      </c>
      <c r="V58" s="23">
        <v>17464.0</v>
      </c>
      <c r="W58" s="23">
        <v>18510.0</v>
      </c>
      <c r="X58" s="19">
        <v>12524.0</v>
      </c>
      <c r="Y58" s="19">
        <v>12500.0</v>
      </c>
      <c r="Z58" s="14">
        <f t="shared" si="1"/>
        <v>6010</v>
      </c>
      <c r="AA58" s="15">
        <f t="shared" si="2"/>
        <v>-24</v>
      </c>
      <c r="AB58" s="19" t="s">
        <v>39</v>
      </c>
      <c r="AC58" s="17" t="s">
        <v>378</v>
      </c>
    </row>
    <row r="59">
      <c r="A59" s="17">
        <v>57.0</v>
      </c>
      <c r="B59" s="20">
        <v>46204.0</v>
      </c>
      <c r="C59" s="17" t="s">
        <v>379</v>
      </c>
      <c r="D59" s="17" t="s">
        <v>380</v>
      </c>
      <c r="E59" s="19" t="s">
        <v>52</v>
      </c>
      <c r="F59" s="17" t="s">
        <v>216</v>
      </c>
      <c r="G59" s="17" t="s">
        <v>381</v>
      </c>
      <c r="H59" s="19">
        <v>7.984921962E9</v>
      </c>
      <c r="I59" s="19" t="s">
        <v>382</v>
      </c>
      <c r="J59" s="19" t="s">
        <v>33</v>
      </c>
      <c r="K59" s="19">
        <v>3460.0</v>
      </c>
      <c r="L59" s="20">
        <v>46569.0</v>
      </c>
      <c r="M59" s="19" t="s">
        <v>57</v>
      </c>
      <c r="N59" s="21" t="s">
        <v>58</v>
      </c>
      <c r="O59" s="19" t="s">
        <v>93</v>
      </c>
      <c r="P59" s="19" t="s">
        <v>60</v>
      </c>
      <c r="Q59" s="17" t="s">
        <v>38</v>
      </c>
      <c r="R59" s="22">
        <v>46661.0</v>
      </c>
      <c r="S59" s="19" t="s">
        <v>383</v>
      </c>
      <c r="T59" s="19" t="s">
        <v>384</v>
      </c>
      <c r="U59" s="19" t="s">
        <v>33</v>
      </c>
      <c r="V59" s="23">
        <v>20754.0</v>
      </c>
      <c r="W59" s="23">
        <v>22382.0</v>
      </c>
      <c r="X59" s="19">
        <v>15182.0</v>
      </c>
      <c r="Y59" s="19">
        <v>15000.0</v>
      </c>
      <c r="Z59" s="14">
        <f t="shared" si="1"/>
        <v>7382</v>
      </c>
      <c r="AA59" s="15">
        <f t="shared" si="2"/>
        <v>-182</v>
      </c>
      <c r="AB59" s="19" t="s">
        <v>39</v>
      </c>
      <c r="AC59" s="17" t="s">
        <v>385</v>
      </c>
    </row>
    <row r="60">
      <c r="A60" s="17">
        <v>58.0</v>
      </c>
      <c r="B60" s="20">
        <v>46204.0</v>
      </c>
      <c r="C60" s="17" t="s">
        <v>386</v>
      </c>
      <c r="D60" s="17" t="s">
        <v>387</v>
      </c>
      <c r="E60" s="19" t="s">
        <v>52</v>
      </c>
      <c r="F60" s="17" t="s">
        <v>388</v>
      </c>
      <c r="G60" s="17" t="s">
        <v>389</v>
      </c>
      <c r="H60" s="19">
        <v>9.979498427E9</v>
      </c>
      <c r="I60" s="19">
        <v>9.510106311E9</v>
      </c>
      <c r="J60" s="19" t="s">
        <v>33</v>
      </c>
      <c r="K60" s="19">
        <v>3425.0</v>
      </c>
      <c r="L60" s="20">
        <v>46508.0</v>
      </c>
      <c r="M60" s="19" t="s">
        <v>57</v>
      </c>
      <c r="N60" s="21" t="s">
        <v>58</v>
      </c>
      <c r="O60" s="19" t="s">
        <v>36</v>
      </c>
      <c r="P60" s="19" t="s">
        <v>60</v>
      </c>
      <c r="Q60" s="17" t="s">
        <v>38</v>
      </c>
      <c r="R60" s="22">
        <v>46966.0</v>
      </c>
      <c r="S60" s="22">
        <v>46478.0</v>
      </c>
      <c r="T60" s="19" t="s">
        <v>390</v>
      </c>
      <c r="U60" s="19" t="s">
        <v>33</v>
      </c>
      <c r="V60" s="23">
        <v>18039.0</v>
      </c>
      <c r="W60" s="23">
        <v>19503.0</v>
      </c>
      <c r="X60" s="19">
        <v>13356.0</v>
      </c>
      <c r="Y60" s="19">
        <v>13500.0</v>
      </c>
      <c r="Z60" s="14">
        <f t="shared" si="1"/>
        <v>6003</v>
      </c>
      <c r="AA60" s="15">
        <f t="shared" si="2"/>
        <v>144</v>
      </c>
      <c r="AB60" s="19" t="s">
        <v>39</v>
      </c>
      <c r="AC60" s="17" t="s">
        <v>391</v>
      </c>
    </row>
    <row r="61">
      <c r="A61" s="17">
        <v>59.0</v>
      </c>
      <c r="B61" s="20">
        <v>46204.0</v>
      </c>
      <c r="C61" s="17" t="s">
        <v>392</v>
      </c>
      <c r="D61" s="17" t="s">
        <v>393</v>
      </c>
      <c r="E61" s="19" t="s">
        <v>102</v>
      </c>
      <c r="F61" s="17" t="s">
        <v>111</v>
      </c>
      <c r="G61" s="17" t="s">
        <v>394</v>
      </c>
      <c r="H61" s="19">
        <v>8.78027042E9</v>
      </c>
      <c r="I61" s="19">
        <v>9.328646139E9</v>
      </c>
      <c r="J61" s="19" t="s">
        <v>33</v>
      </c>
      <c r="K61" s="19">
        <v>818.0</v>
      </c>
      <c r="L61" s="19" t="s">
        <v>395</v>
      </c>
      <c r="M61" s="19" t="s">
        <v>107</v>
      </c>
      <c r="N61" s="21" t="s">
        <v>58</v>
      </c>
      <c r="O61" s="19" t="s">
        <v>66</v>
      </c>
      <c r="P61" s="19" t="s">
        <v>60</v>
      </c>
      <c r="Q61" s="17" t="s">
        <v>38</v>
      </c>
      <c r="R61" s="22">
        <v>47027.0</v>
      </c>
      <c r="S61" s="22">
        <v>46539.0</v>
      </c>
      <c r="T61" s="22">
        <v>47240.0</v>
      </c>
      <c r="U61" s="19" t="s">
        <v>33</v>
      </c>
      <c r="V61" s="19">
        <v>6344.0</v>
      </c>
      <c r="W61" s="19">
        <v>7486.0</v>
      </c>
      <c r="X61" s="19">
        <v>6500.0</v>
      </c>
      <c r="Y61" s="19">
        <v>6500.0</v>
      </c>
      <c r="Z61" s="10">
        <f t="shared" si="1"/>
        <v>986</v>
      </c>
      <c r="AA61" s="15">
        <f t="shared" si="2"/>
        <v>0</v>
      </c>
      <c r="AB61" s="19" t="s">
        <v>39</v>
      </c>
      <c r="AC61" s="17" t="s">
        <v>396</v>
      </c>
    </row>
    <row r="62">
      <c r="A62" s="17">
        <v>60.0</v>
      </c>
      <c r="B62" s="20">
        <v>46204.0</v>
      </c>
      <c r="C62" s="17" t="s">
        <v>397</v>
      </c>
      <c r="D62" s="17" t="s">
        <v>398</v>
      </c>
      <c r="E62" s="19" t="s">
        <v>102</v>
      </c>
      <c r="F62" s="17" t="s">
        <v>111</v>
      </c>
      <c r="G62" s="17" t="s">
        <v>399</v>
      </c>
      <c r="H62" s="19">
        <v>9.82573984E9</v>
      </c>
      <c r="I62" s="19" t="s">
        <v>33</v>
      </c>
      <c r="J62" s="19" t="s">
        <v>33</v>
      </c>
      <c r="K62" s="19">
        <v>806.0</v>
      </c>
      <c r="L62" s="20">
        <v>46539.0</v>
      </c>
      <c r="M62" s="19" t="s">
        <v>107</v>
      </c>
      <c r="N62" s="21" t="s">
        <v>58</v>
      </c>
      <c r="O62" s="19" t="s">
        <v>66</v>
      </c>
      <c r="P62" s="19" t="s">
        <v>60</v>
      </c>
      <c r="Q62" s="17" t="s">
        <v>38</v>
      </c>
      <c r="R62" s="19" t="s">
        <v>400</v>
      </c>
      <c r="S62" s="22">
        <v>46085.0</v>
      </c>
      <c r="T62" s="19" t="s">
        <v>401</v>
      </c>
      <c r="U62" s="19" t="s">
        <v>33</v>
      </c>
      <c r="V62" s="19">
        <v>6248.0</v>
      </c>
      <c r="W62" s="19">
        <v>7373.0</v>
      </c>
      <c r="X62" s="19">
        <v>6500.0</v>
      </c>
      <c r="Y62" s="19">
        <v>6000.0</v>
      </c>
      <c r="Z62" s="10">
        <f t="shared" si="1"/>
        <v>1373</v>
      </c>
      <c r="AA62" s="15">
        <f t="shared" si="2"/>
        <v>-500</v>
      </c>
      <c r="AB62" s="19" t="s">
        <v>39</v>
      </c>
      <c r="AC62" s="17" t="s">
        <v>402</v>
      </c>
    </row>
    <row r="63">
      <c r="A63" s="17">
        <v>61.0</v>
      </c>
      <c r="B63" s="20">
        <v>46204.0</v>
      </c>
      <c r="C63" s="17" t="s">
        <v>403</v>
      </c>
      <c r="D63" s="17" t="s">
        <v>404</v>
      </c>
      <c r="E63" s="19" t="s">
        <v>102</v>
      </c>
      <c r="F63" s="17" t="s">
        <v>111</v>
      </c>
      <c r="G63" s="17" t="s">
        <v>405</v>
      </c>
      <c r="H63" s="19">
        <v>7.984627397E9</v>
      </c>
      <c r="I63" s="19">
        <v>9.723063361E9</v>
      </c>
      <c r="J63" s="19" t="s">
        <v>105</v>
      </c>
      <c r="K63" s="19">
        <v>818.0</v>
      </c>
      <c r="L63" s="20">
        <v>46508.0</v>
      </c>
      <c r="M63" s="19" t="s">
        <v>107</v>
      </c>
      <c r="N63" s="21" t="s">
        <v>58</v>
      </c>
      <c r="O63" s="19" t="s">
        <v>66</v>
      </c>
      <c r="P63" s="19" t="s">
        <v>60</v>
      </c>
      <c r="Q63" s="17" t="s">
        <v>38</v>
      </c>
      <c r="R63" s="22">
        <v>46935.0</v>
      </c>
      <c r="S63" s="22">
        <v>46569.0</v>
      </c>
      <c r="T63" s="19" t="s">
        <v>406</v>
      </c>
      <c r="U63" s="19" t="s">
        <v>33</v>
      </c>
      <c r="V63" s="23">
        <v>6367.0</v>
      </c>
      <c r="W63" s="23">
        <v>7513.0</v>
      </c>
      <c r="X63" s="19">
        <v>6500.0</v>
      </c>
      <c r="Y63" s="19">
        <v>6000.0</v>
      </c>
      <c r="Z63" s="14">
        <f t="shared" si="1"/>
        <v>1513</v>
      </c>
      <c r="AA63" s="15">
        <f t="shared" si="2"/>
        <v>-500</v>
      </c>
      <c r="AB63" s="19" t="s">
        <v>39</v>
      </c>
      <c r="AC63" s="17" t="s">
        <v>407</v>
      </c>
    </row>
    <row r="64">
      <c r="A64" s="17">
        <v>62.0</v>
      </c>
      <c r="B64" s="20">
        <v>46204.0</v>
      </c>
      <c r="C64" s="17" t="s">
        <v>408</v>
      </c>
      <c r="D64" s="17" t="s">
        <v>409</v>
      </c>
      <c r="E64" s="19" t="s">
        <v>410</v>
      </c>
      <c r="F64" s="17" t="s">
        <v>411</v>
      </c>
      <c r="G64" s="17" t="s">
        <v>412</v>
      </c>
      <c r="H64" s="19" t="s">
        <v>413</v>
      </c>
      <c r="I64" s="19">
        <v>9.723419089E9</v>
      </c>
      <c r="J64" s="19" t="s">
        <v>33</v>
      </c>
      <c r="K64" s="19">
        <v>1462.0</v>
      </c>
      <c r="L64" s="20">
        <v>46508.0</v>
      </c>
      <c r="M64" s="19" t="s">
        <v>107</v>
      </c>
      <c r="N64" s="21" t="s">
        <v>58</v>
      </c>
      <c r="O64" s="19" t="s">
        <v>292</v>
      </c>
      <c r="P64" s="19" t="s">
        <v>60</v>
      </c>
      <c r="Q64" s="17" t="s">
        <v>38</v>
      </c>
      <c r="R64" s="22">
        <v>46065.0</v>
      </c>
      <c r="S64" s="22">
        <v>45700.0</v>
      </c>
      <c r="T64" s="19" t="s">
        <v>414</v>
      </c>
      <c r="U64" s="19" t="s">
        <v>33</v>
      </c>
      <c r="V64" s="24">
        <v>30471.0</v>
      </c>
      <c r="W64" s="23">
        <v>35956.0</v>
      </c>
      <c r="X64" s="19">
        <v>31300.0</v>
      </c>
      <c r="Y64" s="19">
        <v>30500.0</v>
      </c>
      <c r="Z64" s="14">
        <f t="shared" si="1"/>
        <v>5456</v>
      </c>
      <c r="AA64" s="15">
        <f t="shared" si="2"/>
        <v>-800</v>
      </c>
      <c r="AB64" s="19" t="s">
        <v>39</v>
      </c>
      <c r="AC64" s="17" t="s">
        <v>415</v>
      </c>
    </row>
    <row r="65">
      <c r="A65" s="17">
        <v>63.0</v>
      </c>
      <c r="B65" s="20">
        <v>46204.0</v>
      </c>
      <c r="C65" s="17" t="s">
        <v>416</v>
      </c>
      <c r="D65" s="17" t="s">
        <v>417</v>
      </c>
      <c r="E65" s="19" t="s">
        <v>102</v>
      </c>
      <c r="F65" s="17" t="s">
        <v>111</v>
      </c>
      <c r="G65" s="17" t="s">
        <v>418</v>
      </c>
      <c r="H65" s="19">
        <v>9.979398938E9</v>
      </c>
      <c r="I65" s="19">
        <v>9.925870961E9</v>
      </c>
      <c r="J65" s="19" t="s">
        <v>105</v>
      </c>
      <c r="K65" s="19">
        <v>806.0</v>
      </c>
      <c r="L65" s="20">
        <v>46508.0</v>
      </c>
      <c r="M65" s="19" t="s">
        <v>107</v>
      </c>
      <c r="N65" s="21" t="s">
        <v>58</v>
      </c>
      <c r="O65" s="19" t="s">
        <v>66</v>
      </c>
      <c r="P65" s="19" t="s">
        <v>60</v>
      </c>
      <c r="Q65" s="17" t="s">
        <v>38</v>
      </c>
      <c r="R65" s="25">
        <v>46966.0</v>
      </c>
      <c r="S65" s="25">
        <v>46152.0</v>
      </c>
      <c r="T65" s="22">
        <v>47188.0</v>
      </c>
      <c r="U65" s="19" t="s">
        <v>33</v>
      </c>
      <c r="V65" s="24">
        <v>6564.0</v>
      </c>
      <c r="W65" s="23">
        <v>7746.0</v>
      </c>
      <c r="X65" s="19">
        <v>6500.0</v>
      </c>
      <c r="Y65" s="19">
        <v>6000.0</v>
      </c>
      <c r="Z65" s="14">
        <f t="shared" si="1"/>
        <v>1746</v>
      </c>
      <c r="AA65" s="15">
        <f t="shared" si="2"/>
        <v>-500</v>
      </c>
      <c r="AB65" s="19" t="s">
        <v>39</v>
      </c>
      <c r="AC65" s="17" t="s">
        <v>419</v>
      </c>
    </row>
    <row r="66">
      <c r="A66" s="17">
        <v>64.0</v>
      </c>
      <c r="B66" s="20">
        <v>46204.0</v>
      </c>
      <c r="C66" s="17" t="s">
        <v>420</v>
      </c>
      <c r="D66" s="17" t="s">
        <v>421</v>
      </c>
      <c r="E66" s="19" t="s">
        <v>234</v>
      </c>
      <c r="F66" s="17" t="s">
        <v>422</v>
      </c>
      <c r="G66" s="17" t="s">
        <v>423</v>
      </c>
      <c r="H66" s="19">
        <v>9.97934321E9</v>
      </c>
      <c r="I66" s="19">
        <v>7.226011443E9</v>
      </c>
      <c r="J66" s="19" t="s">
        <v>33</v>
      </c>
      <c r="K66" s="19">
        <v>3240.0</v>
      </c>
      <c r="L66" s="20">
        <v>46539.0</v>
      </c>
      <c r="M66" s="19" t="s">
        <v>107</v>
      </c>
      <c r="N66" s="21" t="s">
        <v>58</v>
      </c>
      <c r="O66" s="19" t="s">
        <v>424</v>
      </c>
      <c r="P66" s="19" t="s">
        <v>60</v>
      </c>
      <c r="Q66" s="17" t="s">
        <v>38</v>
      </c>
      <c r="R66" s="22">
        <v>46540.0</v>
      </c>
      <c r="S66" s="19" t="s">
        <v>425</v>
      </c>
      <c r="T66" s="19" t="s">
        <v>33</v>
      </c>
      <c r="U66" s="19" t="s">
        <v>33</v>
      </c>
      <c r="V66" s="19">
        <v>15825.0</v>
      </c>
      <c r="W66" s="19">
        <v>18673.0</v>
      </c>
      <c r="X66" s="19">
        <v>18673.0</v>
      </c>
      <c r="Y66" s="19">
        <v>18700.0</v>
      </c>
      <c r="Z66" s="10">
        <f t="shared" si="1"/>
        <v>-27</v>
      </c>
      <c r="AA66" s="15">
        <f t="shared" si="2"/>
        <v>27</v>
      </c>
      <c r="AB66" s="19" t="s">
        <v>39</v>
      </c>
      <c r="AC66" s="17" t="s">
        <v>426</v>
      </c>
    </row>
    <row r="67">
      <c r="A67" s="17">
        <v>65.0</v>
      </c>
      <c r="B67" s="20">
        <v>46204.0</v>
      </c>
      <c r="C67" s="17" t="s">
        <v>427</v>
      </c>
      <c r="D67" s="17" t="s">
        <v>428</v>
      </c>
      <c r="E67" s="19" t="s">
        <v>52</v>
      </c>
      <c r="F67" s="17" t="s">
        <v>429</v>
      </c>
      <c r="G67" s="17" t="s">
        <v>430</v>
      </c>
      <c r="H67" s="19">
        <v>9.979218799E9</v>
      </c>
      <c r="I67" s="19">
        <v>8.1540883E9</v>
      </c>
      <c r="J67" s="19" t="s">
        <v>105</v>
      </c>
      <c r="K67" s="19">
        <v>2565.0</v>
      </c>
      <c r="L67" s="20">
        <v>46508.0</v>
      </c>
      <c r="M67" s="19" t="s">
        <v>107</v>
      </c>
      <c r="N67" s="21" t="s">
        <v>58</v>
      </c>
      <c r="O67" s="19" t="s">
        <v>431</v>
      </c>
      <c r="P67" s="19" t="s">
        <v>60</v>
      </c>
      <c r="Q67" s="17" t="s">
        <v>38</v>
      </c>
      <c r="R67" s="19" t="s">
        <v>432</v>
      </c>
      <c r="S67" s="19" t="s">
        <v>433</v>
      </c>
      <c r="T67" s="19" t="s">
        <v>33</v>
      </c>
      <c r="U67" s="19" t="s">
        <v>33</v>
      </c>
      <c r="V67" s="24">
        <v>18213.0</v>
      </c>
      <c r="W67" s="23">
        <v>19405.0</v>
      </c>
      <c r="X67" s="19">
        <v>13373.0</v>
      </c>
      <c r="Y67" s="19">
        <v>13000.0</v>
      </c>
      <c r="Z67" s="14">
        <f t="shared" si="1"/>
        <v>6405</v>
      </c>
      <c r="AA67" s="15">
        <f t="shared" si="2"/>
        <v>-373</v>
      </c>
      <c r="AB67" s="19" t="s">
        <v>39</v>
      </c>
      <c r="AC67" s="17" t="s">
        <v>434</v>
      </c>
    </row>
    <row r="68">
      <c r="A68" s="17">
        <v>66.0</v>
      </c>
      <c r="B68" s="20">
        <v>46204.0</v>
      </c>
      <c r="C68" s="17" t="s">
        <v>435</v>
      </c>
      <c r="D68" s="17" t="s">
        <v>436</v>
      </c>
      <c r="E68" s="19" t="s">
        <v>102</v>
      </c>
      <c r="F68" s="17" t="s">
        <v>111</v>
      </c>
      <c r="G68" s="17" t="s">
        <v>437</v>
      </c>
      <c r="H68" s="19" t="s">
        <v>438</v>
      </c>
      <c r="I68" s="19">
        <v>9.712701296E9</v>
      </c>
      <c r="J68" s="19" t="s">
        <v>33</v>
      </c>
      <c r="K68" s="19">
        <v>818.0</v>
      </c>
      <c r="L68" s="20">
        <v>46539.0</v>
      </c>
      <c r="M68" s="19" t="s">
        <v>107</v>
      </c>
      <c r="N68" s="21" t="s">
        <v>58</v>
      </c>
      <c r="O68" s="19" t="s">
        <v>439</v>
      </c>
      <c r="P68" s="19" t="s">
        <v>60</v>
      </c>
      <c r="Q68" s="17" t="s">
        <v>38</v>
      </c>
      <c r="R68" s="19" t="s">
        <v>114</v>
      </c>
      <c r="S68" s="19" t="s">
        <v>440</v>
      </c>
      <c r="T68" s="19" t="s">
        <v>441</v>
      </c>
      <c r="U68" s="19" t="s">
        <v>33</v>
      </c>
      <c r="V68" s="23">
        <v>6221.0</v>
      </c>
      <c r="W68" s="23">
        <v>7341.0</v>
      </c>
      <c r="X68" s="19">
        <v>6500.0</v>
      </c>
      <c r="Y68" s="19">
        <v>6000.0</v>
      </c>
      <c r="Z68" s="14">
        <f t="shared" si="1"/>
        <v>1341</v>
      </c>
      <c r="AA68" s="15">
        <f t="shared" si="2"/>
        <v>-500</v>
      </c>
      <c r="AB68" s="19" t="s">
        <v>39</v>
      </c>
      <c r="AC68" s="17" t="s">
        <v>442</v>
      </c>
    </row>
    <row r="69">
      <c r="A69" s="17">
        <v>67.0</v>
      </c>
      <c r="B69" s="20">
        <v>46204.0</v>
      </c>
      <c r="C69" s="17" t="s">
        <v>443</v>
      </c>
      <c r="D69" s="17" t="s">
        <v>444</v>
      </c>
      <c r="E69" s="19" t="s">
        <v>52</v>
      </c>
      <c r="F69" s="17" t="s">
        <v>445</v>
      </c>
      <c r="G69" s="17" t="s">
        <v>446</v>
      </c>
      <c r="H69" s="19">
        <v>8.128211483E9</v>
      </c>
      <c r="I69" s="19">
        <v>9.825212751E9</v>
      </c>
      <c r="J69" s="19" t="s">
        <v>105</v>
      </c>
      <c r="K69" s="19">
        <v>1260.0</v>
      </c>
      <c r="L69" s="19" t="s">
        <v>447</v>
      </c>
      <c r="M69" s="19" t="s">
        <v>189</v>
      </c>
      <c r="N69" s="21" t="s">
        <v>58</v>
      </c>
      <c r="O69" s="19" t="s">
        <v>66</v>
      </c>
      <c r="P69" s="19" t="s">
        <v>79</v>
      </c>
      <c r="Q69" s="17" t="s">
        <v>38</v>
      </c>
      <c r="R69" s="19" t="s">
        <v>448</v>
      </c>
      <c r="S69" s="19" t="s">
        <v>449</v>
      </c>
      <c r="T69" s="19" t="s">
        <v>33</v>
      </c>
      <c r="U69" s="19" t="s">
        <v>33</v>
      </c>
      <c r="V69" s="23">
        <v>16807.0</v>
      </c>
      <c r="W69" s="23">
        <v>17746.0</v>
      </c>
      <c r="X69" s="19">
        <v>11821.0</v>
      </c>
      <c r="Y69" s="19">
        <v>11500.0</v>
      </c>
      <c r="Z69" s="14">
        <f t="shared" si="1"/>
        <v>6246</v>
      </c>
      <c r="AA69" s="15">
        <f t="shared" si="2"/>
        <v>-321</v>
      </c>
      <c r="AB69" s="19" t="s">
        <v>39</v>
      </c>
      <c r="AC69" s="17" t="s">
        <v>450</v>
      </c>
    </row>
    <row r="70">
      <c r="A70" s="17">
        <v>68.0</v>
      </c>
      <c r="B70" s="20">
        <v>46204.0</v>
      </c>
      <c r="C70" s="17" t="s">
        <v>451</v>
      </c>
      <c r="D70" s="17" t="s">
        <v>452</v>
      </c>
      <c r="E70" s="19" t="s">
        <v>52</v>
      </c>
      <c r="F70" s="17" t="s">
        <v>453</v>
      </c>
      <c r="G70" s="17" t="s">
        <v>454</v>
      </c>
      <c r="H70" s="19">
        <v>6.352080451E9</v>
      </c>
      <c r="I70" s="19">
        <v>9.97931317E9</v>
      </c>
      <c r="J70" s="19" t="s">
        <v>33</v>
      </c>
      <c r="K70" s="19">
        <v>1600.0</v>
      </c>
      <c r="L70" s="20">
        <v>46508.0</v>
      </c>
      <c r="M70" s="19" t="s">
        <v>189</v>
      </c>
      <c r="N70" s="21" t="s">
        <v>58</v>
      </c>
      <c r="O70" s="19" t="s">
        <v>59</v>
      </c>
      <c r="P70" s="19" t="s">
        <v>79</v>
      </c>
      <c r="Q70" s="17" t="s">
        <v>38</v>
      </c>
      <c r="R70" s="22">
        <v>46149.0</v>
      </c>
      <c r="S70" s="19" t="s">
        <v>48</v>
      </c>
      <c r="T70" s="19" t="s">
        <v>33</v>
      </c>
      <c r="U70" s="19" t="s">
        <v>33</v>
      </c>
      <c r="V70" s="23">
        <v>20466.0</v>
      </c>
      <c r="W70" s="23">
        <v>22064.0</v>
      </c>
      <c r="X70" s="19">
        <v>13761.0</v>
      </c>
      <c r="Y70" s="19">
        <v>14500.0</v>
      </c>
      <c r="Z70" s="14">
        <f t="shared" si="1"/>
        <v>7564</v>
      </c>
      <c r="AA70" s="15">
        <f t="shared" si="2"/>
        <v>739</v>
      </c>
      <c r="AB70" s="19" t="s">
        <v>39</v>
      </c>
      <c r="AC70" s="17" t="s">
        <v>455</v>
      </c>
    </row>
    <row r="71">
      <c r="A71" s="17">
        <v>69.0</v>
      </c>
      <c r="B71" s="20">
        <v>46204.0</v>
      </c>
      <c r="C71" s="17" t="s">
        <v>456</v>
      </c>
      <c r="D71" s="17" t="s">
        <v>457</v>
      </c>
      <c r="E71" s="19" t="s">
        <v>52</v>
      </c>
      <c r="F71" s="17" t="s">
        <v>187</v>
      </c>
      <c r="G71" s="17" t="s">
        <v>458</v>
      </c>
      <c r="H71" s="19">
        <v>9.913446989E9</v>
      </c>
      <c r="I71" s="19">
        <v>9.913446996E9</v>
      </c>
      <c r="J71" s="19" t="s">
        <v>33</v>
      </c>
      <c r="K71" s="19">
        <v>1600.0</v>
      </c>
      <c r="L71" s="20">
        <v>46508.0</v>
      </c>
      <c r="M71" s="19" t="s">
        <v>189</v>
      </c>
      <c r="N71" s="21" t="s">
        <v>58</v>
      </c>
      <c r="O71" s="19" t="s">
        <v>66</v>
      </c>
      <c r="P71" s="19" t="s">
        <v>79</v>
      </c>
      <c r="Q71" s="17" t="s">
        <v>38</v>
      </c>
      <c r="R71" s="19" t="s">
        <v>459</v>
      </c>
      <c r="S71" s="19" t="s">
        <v>460</v>
      </c>
      <c r="T71" s="19" t="s">
        <v>33</v>
      </c>
      <c r="U71" s="19" t="s">
        <v>33</v>
      </c>
      <c r="V71" s="19">
        <v>20570.0</v>
      </c>
      <c r="W71" s="19">
        <v>22186.0</v>
      </c>
      <c r="X71" s="19">
        <v>14053.0</v>
      </c>
      <c r="Y71" s="19">
        <v>13500.0</v>
      </c>
      <c r="Z71" s="10">
        <f t="shared" si="1"/>
        <v>8686</v>
      </c>
      <c r="AA71" s="15">
        <f t="shared" si="2"/>
        <v>-553</v>
      </c>
      <c r="AB71" s="19" t="s">
        <v>39</v>
      </c>
      <c r="AC71" s="17" t="s">
        <v>461</v>
      </c>
    </row>
    <row r="72">
      <c r="A72" s="17">
        <v>70.0</v>
      </c>
      <c r="B72" s="20">
        <v>46204.0</v>
      </c>
      <c r="C72" s="17" t="s">
        <v>462</v>
      </c>
      <c r="D72" s="18">
        <v>9.0092511E8</v>
      </c>
      <c r="E72" s="19" t="s">
        <v>30</v>
      </c>
      <c r="F72" s="17" t="s">
        <v>463</v>
      </c>
      <c r="G72" s="17" t="s">
        <v>464</v>
      </c>
      <c r="H72" s="19">
        <v>9.727367062E9</v>
      </c>
      <c r="I72" s="19">
        <v>9.925645136E9</v>
      </c>
      <c r="J72" s="19" t="s">
        <v>33</v>
      </c>
      <c r="K72" s="19">
        <v>1197.0</v>
      </c>
      <c r="L72" s="20">
        <v>46539.0</v>
      </c>
      <c r="M72" s="19" t="s">
        <v>34</v>
      </c>
      <c r="N72" s="21" t="s">
        <v>58</v>
      </c>
      <c r="O72" s="19" t="s">
        <v>424</v>
      </c>
      <c r="P72" s="19" t="s">
        <v>37</v>
      </c>
      <c r="Q72" s="17" t="s">
        <v>38</v>
      </c>
      <c r="R72" s="22">
        <v>48183.0</v>
      </c>
      <c r="S72" s="19" t="s">
        <v>465</v>
      </c>
      <c r="T72" s="19" t="s">
        <v>33</v>
      </c>
      <c r="U72" s="19" t="s">
        <v>33</v>
      </c>
      <c r="V72" s="23">
        <v>4262.72</v>
      </c>
      <c r="W72" s="19">
        <v>5030.0</v>
      </c>
      <c r="X72" s="19">
        <v>5030.0</v>
      </c>
      <c r="Y72" s="19">
        <v>5030.0</v>
      </c>
      <c r="Z72" s="10">
        <f t="shared" si="1"/>
        <v>0</v>
      </c>
      <c r="AA72" s="15">
        <f t="shared" si="2"/>
        <v>0</v>
      </c>
      <c r="AB72" s="19" t="s">
        <v>39</v>
      </c>
      <c r="AC72" s="17" t="s">
        <v>466</v>
      </c>
    </row>
    <row r="73">
      <c r="A73" s="17">
        <v>71.0</v>
      </c>
      <c r="B73" s="20">
        <v>46204.0</v>
      </c>
      <c r="C73" s="17" t="s">
        <v>467</v>
      </c>
      <c r="D73" s="17" t="s">
        <v>468</v>
      </c>
      <c r="E73" s="19" t="s">
        <v>52</v>
      </c>
      <c r="F73" s="17" t="s">
        <v>469</v>
      </c>
      <c r="G73" s="17" t="s">
        <v>470</v>
      </c>
      <c r="H73" s="19">
        <v>9.537525018E9</v>
      </c>
      <c r="I73" s="19">
        <v>7.0695383E9</v>
      </c>
      <c r="J73" s="19" t="s">
        <v>33</v>
      </c>
      <c r="K73" s="19">
        <v>2995.0</v>
      </c>
      <c r="L73" s="20">
        <v>46508.0</v>
      </c>
      <c r="M73" s="19" t="s">
        <v>57</v>
      </c>
      <c r="N73" s="21" t="s">
        <v>58</v>
      </c>
      <c r="O73" s="19" t="s">
        <v>36</v>
      </c>
      <c r="P73" s="19" t="s">
        <v>60</v>
      </c>
      <c r="Q73" s="17" t="s">
        <v>38</v>
      </c>
      <c r="R73" s="22">
        <v>46358.0</v>
      </c>
      <c r="S73" s="22">
        <v>46214.0</v>
      </c>
      <c r="T73" s="19" t="s">
        <v>33</v>
      </c>
      <c r="U73" s="19" t="s">
        <v>33</v>
      </c>
      <c r="V73" s="23">
        <v>22072.0</v>
      </c>
      <c r="W73" s="23">
        <v>23948.0</v>
      </c>
      <c r="X73" s="19">
        <v>15331.0</v>
      </c>
      <c r="Y73" s="19">
        <v>15000.0</v>
      </c>
      <c r="Z73" s="14">
        <f t="shared" si="1"/>
        <v>8948</v>
      </c>
      <c r="AA73" s="15">
        <f t="shared" si="2"/>
        <v>-331</v>
      </c>
      <c r="AB73" s="19" t="s">
        <v>39</v>
      </c>
      <c r="AC73" s="17" t="s">
        <v>471</v>
      </c>
    </row>
    <row r="74">
      <c r="A74" s="35">
        <v>72.0</v>
      </c>
      <c r="B74" s="38">
        <v>46204.0</v>
      </c>
      <c r="C74" s="35" t="s">
        <v>472</v>
      </c>
      <c r="D74" s="35" t="s">
        <v>473</v>
      </c>
      <c r="E74" s="37" t="s">
        <v>88</v>
      </c>
      <c r="F74" s="35" t="s">
        <v>314</v>
      </c>
      <c r="G74" s="35" t="s">
        <v>474</v>
      </c>
      <c r="H74" s="37">
        <v>9.033333157E9</v>
      </c>
      <c r="I74" s="37">
        <v>6.351000398E9</v>
      </c>
      <c r="J74" s="37" t="s">
        <v>33</v>
      </c>
      <c r="K74" s="37">
        <v>12990.0</v>
      </c>
      <c r="L74" s="38">
        <v>46539.0</v>
      </c>
      <c r="M74" s="37" t="s">
        <v>152</v>
      </c>
      <c r="N74" s="39" t="s">
        <v>58</v>
      </c>
      <c r="O74" s="37" t="s">
        <v>59</v>
      </c>
      <c r="P74" s="37" t="s">
        <v>79</v>
      </c>
      <c r="Q74" s="35" t="s">
        <v>38</v>
      </c>
      <c r="R74" s="40">
        <v>46368.0</v>
      </c>
      <c r="S74" s="37" t="s">
        <v>475</v>
      </c>
      <c r="T74" s="37" t="s">
        <v>476</v>
      </c>
      <c r="U74" s="37" t="s">
        <v>33</v>
      </c>
      <c r="V74" s="41">
        <v>37046.21</v>
      </c>
      <c r="W74" s="41">
        <v>39124.0</v>
      </c>
      <c r="X74" s="37">
        <v>32890.0</v>
      </c>
      <c r="Y74" s="37">
        <v>31500.0</v>
      </c>
      <c r="Z74" s="45">
        <f t="shared" si="1"/>
        <v>7624</v>
      </c>
      <c r="AA74" s="15">
        <f t="shared" si="2"/>
        <v>-1390</v>
      </c>
      <c r="AB74" s="37" t="s">
        <v>39</v>
      </c>
      <c r="AC74" s="35" t="s">
        <v>477</v>
      </c>
    </row>
    <row r="75">
      <c r="A75" s="17">
        <v>73.0</v>
      </c>
      <c r="B75" s="20">
        <v>46204.0</v>
      </c>
      <c r="C75" s="17" t="s">
        <v>478</v>
      </c>
      <c r="D75" s="17" t="s">
        <v>479</v>
      </c>
      <c r="E75" s="19" t="s">
        <v>88</v>
      </c>
      <c r="F75" s="17" t="s">
        <v>480</v>
      </c>
      <c r="G75" s="17" t="s">
        <v>481</v>
      </c>
      <c r="H75" s="19">
        <v>8.329666175E9</v>
      </c>
      <c r="I75" s="19" t="s">
        <v>33</v>
      </c>
      <c r="J75" s="19" t="s">
        <v>33</v>
      </c>
      <c r="K75" s="19">
        <v>45500.0</v>
      </c>
      <c r="L75" s="20">
        <v>46539.0</v>
      </c>
      <c r="M75" s="19" t="s">
        <v>45</v>
      </c>
      <c r="N75" s="21" t="s">
        <v>58</v>
      </c>
      <c r="O75" s="19" t="s">
        <v>292</v>
      </c>
      <c r="P75" s="19" t="s">
        <v>79</v>
      </c>
      <c r="Q75" s="17" t="s">
        <v>38</v>
      </c>
      <c r="R75" s="22">
        <v>46695.0</v>
      </c>
      <c r="S75" s="19" t="s">
        <v>482</v>
      </c>
      <c r="T75" s="22">
        <v>47760.0</v>
      </c>
      <c r="U75" s="19" t="s">
        <v>33</v>
      </c>
      <c r="V75" s="46">
        <v>48405.0</v>
      </c>
      <c r="W75" s="23">
        <v>51366.0</v>
      </c>
      <c r="X75" s="19">
        <v>45544.0</v>
      </c>
      <c r="Y75" s="19">
        <v>45500.0</v>
      </c>
      <c r="Z75" s="14">
        <f t="shared" si="1"/>
        <v>5866</v>
      </c>
      <c r="AA75" s="15">
        <f t="shared" si="2"/>
        <v>-44</v>
      </c>
      <c r="AB75" s="19" t="s">
        <v>39</v>
      </c>
      <c r="AC75" s="17" t="s">
        <v>483</v>
      </c>
    </row>
    <row r="76">
      <c r="A76" s="35">
        <v>74.0</v>
      </c>
      <c r="B76" s="38">
        <v>46204.0</v>
      </c>
      <c r="C76" s="35" t="s">
        <v>484</v>
      </c>
      <c r="D76" s="35" t="s">
        <v>485</v>
      </c>
      <c r="E76" s="37" t="s">
        <v>88</v>
      </c>
      <c r="F76" s="35" t="s">
        <v>486</v>
      </c>
      <c r="G76" s="35" t="s">
        <v>474</v>
      </c>
      <c r="H76" s="37">
        <v>9.033333157E9</v>
      </c>
      <c r="I76" s="37">
        <v>6.351000398E9</v>
      </c>
      <c r="J76" s="37" t="s">
        <v>33</v>
      </c>
      <c r="K76" s="37">
        <v>12990.0</v>
      </c>
      <c r="L76" s="38">
        <v>46539.0</v>
      </c>
      <c r="M76" s="37" t="s">
        <v>152</v>
      </c>
      <c r="N76" s="39" t="s">
        <v>58</v>
      </c>
      <c r="O76" s="37" t="s">
        <v>59</v>
      </c>
      <c r="P76" s="37" t="s">
        <v>79</v>
      </c>
      <c r="Q76" s="35" t="s">
        <v>38</v>
      </c>
      <c r="R76" s="40">
        <v>46338.0</v>
      </c>
      <c r="S76" s="37" t="s">
        <v>475</v>
      </c>
      <c r="T76" s="37" t="s">
        <v>476</v>
      </c>
      <c r="U76" s="37" t="s">
        <v>33</v>
      </c>
      <c r="V76" s="41">
        <v>37046.21</v>
      </c>
      <c r="W76" s="37">
        <v>39124.0</v>
      </c>
      <c r="X76" s="37">
        <v>32890.0</v>
      </c>
      <c r="Y76" s="37">
        <v>31500.0</v>
      </c>
      <c r="Z76" s="44">
        <f t="shared" si="1"/>
        <v>7624</v>
      </c>
      <c r="AA76" s="15">
        <f t="shared" si="2"/>
        <v>-1390</v>
      </c>
      <c r="AB76" s="37" t="s">
        <v>39</v>
      </c>
      <c r="AC76" s="35" t="s">
        <v>487</v>
      </c>
    </row>
    <row r="77">
      <c r="A77" s="17">
        <v>75.0</v>
      </c>
      <c r="B77" s="20">
        <v>46204.0</v>
      </c>
      <c r="C77" s="17" t="s">
        <v>488</v>
      </c>
      <c r="D77" s="17" t="s">
        <v>489</v>
      </c>
      <c r="E77" s="19" t="s">
        <v>52</v>
      </c>
      <c r="F77" s="17" t="s">
        <v>187</v>
      </c>
      <c r="G77" s="17" t="s">
        <v>490</v>
      </c>
      <c r="H77" s="19">
        <v>9.687789442E9</v>
      </c>
      <c r="I77" s="19">
        <v>9.879175798E9</v>
      </c>
      <c r="J77" s="19" t="s">
        <v>33</v>
      </c>
      <c r="K77" s="19">
        <v>1600.0</v>
      </c>
      <c r="L77" s="20">
        <v>46661.0</v>
      </c>
      <c r="M77" s="19" t="s">
        <v>189</v>
      </c>
      <c r="N77" s="21" t="s">
        <v>58</v>
      </c>
      <c r="O77" s="19" t="s">
        <v>491</v>
      </c>
      <c r="P77" s="19" t="s">
        <v>79</v>
      </c>
      <c r="Q77" s="17" t="s">
        <v>38</v>
      </c>
      <c r="R77" s="22">
        <v>47088.0</v>
      </c>
      <c r="S77" s="22">
        <v>46119.0</v>
      </c>
      <c r="T77" s="19" t="s">
        <v>33</v>
      </c>
      <c r="U77" s="19" t="s">
        <v>33</v>
      </c>
      <c r="V77" s="24">
        <v>20652.0</v>
      </c>
      <c r="W77" s="23">
        <v>22283.0</v>
      </c>
      <c r="X77" s="19">
        <v>14120.0</v>
      </c>
      <c r="Y77" s="19">
        <v>13250.0</v>
      </c>
      <c r="Z77" s="14">
        <f t="shared" si="1"/>
        <v>9033</v>
      </c>
      <c r="AA77" s="15">
        <f t="shared" si="2"/>
        <v>-870</v>
      </c>
      <c r="AB77" s="19" t="s">
        <v>39</v>
      </c>
      <c r="AC77" s="17" t="s">
        <v>492</v>
      </c>
    </row>
    <row r="78">
      <c r="A78" s="17">
        <v>76.0</v>
      </c>
      <c r="B78" s="20">
        <v>46204.0</v>
      </c>
      <c r="C78" s="17" t="s">
        <v>493</v>
      </c>
      <c r="D78" s="17" t="s">
        <v>494</v>
      </c>
      <c r="E78" s="19" t="s">
        <v>52</v>
      </c>
      <c r="F78" s="17" t="s">
        <v>187</v>
      </c>
      <c r="G78" s="17" t="s">
        <v>495</v>
      </c>
      <c r="H78" s="19">
        <v>6.352670587E9</v>
      </c>
      <c r="I78" s="19" t="s">
        <v>33</v>
      </c>
      <c r="J78" s="19" t="s">
        <v>33</v>
      </c>
      <c r="K78" s="19">
        <v>1600.0</v>
      </c>
      <c r="L78" s="20">
        <v>46508.0</v>
      </c>
      <c r="M78" s="19" t="s">
        <v>189</v>
      </c>
      <c r="N78" s="21" t="s">
        <v>58</v>
      </c>
      <c r="O78" s="19" t="s">
        <v>496</v>
      </c>
      <c r="P78" s="19" t="s">
        <v>79</v>
      </c>
      <c r="Q78" s="17" t="s">
        <v>38</v>
      </c>
      <c r="R78" s="19" t="s">
        <v>497</v>
      </c>
      <c r="S78" s="19" t="s">
        <v>498</v>
      </c>
      <c r="T78" s="19" t="s">
        <v>33</v>
      </c>
      <c r="U78" s="19" t="s">
        <v>33</v>
      </c>
      <c r="V78" s="23">
        <v>22092.0</v>
      </c>
      <c r="W78" s="23">
        <v>23982.0</v>
      </c>
      <c r="X78" s="19">
        <v>14456.0</v>
      </c>
      <c r="Y78" s="19">
        <v>14000.0</v>
      </c>
      <c r="Z78" s="14">
        <f t="shared" si="1"/>
        <v>9982</v>
      </c>
      <c r="AA78" s="15">
        <f t="shared" si="2"/>
        <v>-456</v>
      </c>
      <c r="AB78" s="19" t="s">
        <v>39</v>
      </c>
      <c r="AC78" s="17" t="s">
        <v>499</v>
      </c>
    </row>
    <row r="79">
      <c r="A79" s="17">
        <v>77.0</v>
      </c>
      <c r="B79" s="20">
        <v>46204.0</v>
      </c>
      <c r="C79" s="17" t="s">
        <v>500</v>
      </c>
      <c r="D79" s="17" t="s">
        <v>501</v>
      </c>
      <c r="E79" s="19" t="s">
        <v>52</v>
      </c>
      <c r="F79" s="17" t="s">
        <v>187</v>
      </c>
      <c r="G79" s="17" t="s">
        <v>502</v>
      </c>
      <c r="H79" s="19">
        <v>9.687789442E9</v>
      </c>
      <c r="I79" s="19">
        <v>9.879175798E9</v>
      </c>
      <c r="J79" s="19" t="s">
        <v>33</v>
      </c>
      <c r="K79" s="19">
        <v>1600.0</v>
      </c>
      <c r="L79" s="20">
        <v>46692.0</v>
      </c>
      <c r="M79" s="19" t="s">
        <v>189</v>
      </c>
      <c r="N79" s="21" t="s">
        <v>58</v>
      </c>
      <c r="O79" s="19" t="s">
        <v>66</v>
      </c>
      <c r="P79" s="19" t="s">
        <v>79</v>
      </c>
      <c r="Q79" s="17" t="s">
        <v>38</v>
      </c>
      <c r="R79" s="19" t="s">
        <v>503</v>
      </c>
      <c r="S79" s="19" t="s">
        <v>504</v>
      </c>
      <c r="T79" s="19" t="s">
        <v>33</v>
      </c>
      <c r="U79" s="19" t="s">
        <v>33</v>
      </c>
      <c r="V79" s="23">
        <v>20679.0</v>
      </c>
      <c r="W79" s="19">
        <v>22315.0</v>
      </c>
      <c r="X79" s="19">
        <v>14107.0</v>
      </c>
      <c r="Y79" s="19">
        <v>13250.0</v>
      </c>
      <c r="Z79" s="10">
        <f t="shared" si="1"/>
        <v>9065</v>
      </c>
      <c r="AA79" s="15">
        <f t="shared" si="2"/>
        <v>-857</v>
      </c>
      <c r="AB79" s="19" t="s">
        <v>39</v>
      </c>
      <c r="AC79" s="17" t="s">
        <v>505</v>
      </c>
    </row>
    <row r="80">
      <c r="A80" s="17">
        <v>78.0</v>
      </c>
      <c r="B80" s="20">
        <v>46204.0</v>
      </c>
      <c r="C80" s="17" t="s">
        <v>506</v>
      </c>
      <c r="D80" s="17" t="s">
        <v>507</v>
      </c>
      <c r="E80" s="19" t="s">
        <v>52</v>
      </c>
      <c r="F80" s="17" t="s">
        <v>445</v>
      </c>
      <c r="G80" s="17" t="s">
        <v>508</v>
      </c>
      <c r="H80" s="19">
        <v>9.898070588E9</v>
      </c>
      <c r="I80" s="19">
        <v>7.990301381E9</v>
      </c>
      <c r="J80" s="19" t="s">
        <v>33</v>
      </c>
      <c r="K80" s="19">
        <v>2500.0</v>
      </c>
      <c r="L80" s="20">
        <v>46508.0</v>
      </c>
      <c r="M80" s="19" t="s">
        <v>189</v>
      </c>
      <c r="N80" s="21" t="s">
        <v>58</v>
      </c>
      <c r="O80" s="19" t="s">
        <v>198</v>
      </c>
      <c r="P80" s="19" t="s">
        <v>79</v>
      </c>
      <c r="Q80" s="17" t="s">
        <v>38</v>
      </c>
      <c r="R80" s="22">
        <v>46631.0</v>
      </c>
      <c r="S80" s="22">
        <v>46180.0</v>
      </c>
      <c r="T80" s="19" t="s">
        <v>33</v>
      </c>
      <c r="U80" s="19" t="s">
        <v>33</v>
      </c>
      <c r="V80" s="23">
        <v>17100.0</v>
      </c>
      <c r="W80" s="23">
        <v>18092.0</v>
      </c>
      <c r="X80" s="19">
        <v>10977.0</v>
      </c>
      <c r="Y80" s="19">
        <v>10800.0</v>
      </c>
      <c r="Z80" s="14">
        <f t="shared" si="1"/>
        <v>7292</v>
      </c>
      <c r="AA80" s="15">
        <f t="shared" si="2"/>
        <v>-177</v>
      </c>
      <c r="AB80" s="19" t="s">
        <v>39</v>
      </c>
      <c r="AC80" s="47" t="s">
        <v>509</v>
      </c>
    </row>
    <row r="81">
      <c r="A81" s="17">
        <v>79.0</v>
      </c>
      <c r="B81" s="20">
        <v>46204.0</v>
      </c>
      <c r="C81" s="17" t="s">
        <v>510</v>
      </c>
      <c r="D81" s="17" t="s">
        <v>511</v>
      </c>
      <c r="E81" s="19" t="s">
        <v>167</v>
      </c>
      <c r="F81" s="17" t="s">
        <v>168</v>
      </c>
      <c r="G81" s="17" t="s">
        <v>512</v>
      </c>
      <c r="H81" s="19">
        <v>9.638852153E9</v>
      </c>
      <c r="I81" s="19" t="s">
        <v>33</v>
      </c>
      <c r="J81" s="19" t="s">
        <v>33</v>
      </c>
      <c r="K81" s="19">
        <v>995.0</v>
      </c>
      <c r="L81" s="20">
        <v>46539.0</v>
      </c>
      <c r="M81" s="19" t="s">
        <v>152</v>
      </c>
      <c r="N81" s="21" t="s">
        <v>58</v>
      </c>
      <c r="O81" s="19" t="s">
        <v>136</v>
      </c>
      <c r="P81" s="19" t="s">
        <v>79</v>
      </c>
      <c r="Q81" s="17" t="s">
        <v>38</v>
      </c>
      <c r="R81" s="22">
        <v>46277.0</v>
      </c>
      <c r="S81" s="22">
        <v>45912.0</v>
      </c>
      <c r="T81" s="19" t="s">
        <v>33</v>
      </c>
      <c r="U81" s="19" t="s">
        <v>33</v>
      </c>
      <c r="V81" s="23">
        <v>5362.44</v>
      </c>
      <c r="W81" s="23">
        <v>5744.0</v>
      </c>
      <c r="X81" s="19">
        <v>5000.0</v>
      </c>
      <c r="Y81" s="19">
        <v>5000.0</v>
      </c>
      <c r="Z81" s="14">
        <f t="shared" si="1"/>
        <v>744</v>
      </c>
      <c r="AA81" s="15">
        <f t="shared" si="2"/>
        <v>0</v>
      </c>
      <c r="AB81" s="19" t="s">
        <v>39</v>
      </c>
      <c r="AC81" s="17" t="s">
        <v>513</v>
      </c>
    </row>
    <row r="82">
      <c r="A82" s="35">
        <v>80.0</v>
      </c>
      <c r="B82" s="38">
        <v>46235.0</v>
      </c>
      <c r="C82" s="35" t="s">
        <v>514</v>
      </c>
      <c r="D82" s="35" t="s">
        <v>515</v>
      </c>
      <c r="E82" s="37" t="s">
        <v>88</v>
      </c>
      <c r="F82" s="35" t="s">
        <v>516</v>
      </c>
      <c r="G82" s="35" t="s">
        <v>517</v>
      </c>
      <c r="H82" s="37">
        <v>9.82502478E9</v>
      </c>
      <c r="I82" s="37">
        <v>9.72312478E9</v>
      </c>
      <c r="J82" s="37" t="s">
        <v>33</v>
      </c>
      <c r="K82" s="37">
        <v>12990.0</v>
      </c>
      <c r="L82" s="38">
        <v>46569.0</v>
      </c>
      <c r="M82" s="37" t="s">
        <v>152</v>
      </c>
      <c r="N82" s="39" t="s">
        <v>58</v>
      </c>
      <c r="O82" s="37" t="s">
        <v>66</v>
      </c>
      <c r="P82" s="37" t="s">
        <v>79</v>
      </c>
      <c r="Q82" s="35" t="s">
        <v>38</v>
      </c>
      <c r="R82" s="43">
        <v>46661.0</v>
      </c>
      <c r="S82" s="37" t="s">
        <v>518</v>
      </c>
      <c r="T82" s="37" t="s">
        <v>519</v>
      </c>
      <c r="U82" s="37" t="s">
        <v>33</v>
      </c>
      <c r="V82" s="48">
        <v>37512.0</v>
      </c>
      <c r="W82" s="48">
        <v>39675.0</v>
      </c>
      <c r="X82" s="37">
        <v>33287.0</v>
      </c>
      <c r="Y82" s="37">
        <v>33000.0</v>
      </c>
      <c r="Z82" s="49">
        <f t="shared" si="1"/>
        <v>6675</v>
      </c>
      <c r="AA82" s="15">
        <f t="shared" si="2"/>
        <v>-287</v>
      </c>
      <c r="AB82" s="37" t="s">
        <v>39</v>
      </c>
      <c r="AC82" s="35" t="s">
        <v>520</v>
      </c>
    </row>
    <row r="83">
      <c r="A83" s="17">
        <v>81.0</v>
      </c>
      <c r="B83" s="20">
        <v>46235.0</v>
      </c>
      <c r="C83" s="17" t="s">
        <v>521</v>
      </c>
      <c r="D83" s="17" t="s">
        <v>522</v>
      </c>
      <c r="E83" s="19" t="s">
        <v>167</v>
      </c>
      <c r="F83" s="17" t="s">
        <v>523</v>
      </c>
      <c r="G83" s="17" t="s">
        <v>524</v>
      </c>
      <c r="H83" s="19">
        <v>6.353692688E9</v>
      </c>
      <c r="I83" s="19">
        <v>9.825699562E9</v>
      </c>
      <c r="J83" s="19" t="s">
        <v>33</v>
      </c>
      <c r="K83" s="19">
        <v>990.0</v>
      </c>
      <c r="L83" s="30">
        <v>46569.0</v>
      </c>
      <c r="M83" s="19" t="s">
        <v>224</v>
      </c>
      <c r="N83" s="21" t="s">
        <v>58</v>
      </c>
      <c r="O83" s="19" t="s">
        <v>66</v>
      </c>
      <c r="P83" s="19" t="s">
        <v>79</v>
      </c>
      <c r="Q83" s="17" t="s">
        <v>38</v>
      </c>
      <c r="R83" s="19" t="s">
        <v>525</v>
      </c>
      <c r="S83" s="22">
        <v>46174.0</v>
      </c>
      <c r="T83" s="19" t="s">
        <v>33</v>
      </c>
      <c r="U83" s="19" t="s">
        <v>33</v>
      </c>
      <c r="V83" s="23">
        <v>5566.0</v>
      </c>
      <c r="W83" s="23">
        <v>5976.0</v>
      </c>
      <c r="X83" s="19">
        <v>5000.0</v>
      </c>
      <c r="Y83" s="19">
        <v>5000.0</v>
      </c>
      <c r="Z83" s="14">
        <f t="shared" si="1"/>
        <v>976</v>
      </c>
      <c r="AA83" s="15">
        <f t="shared" si="2"/>
        <v>0</v>
      </c>
      <c r="AB83" s="19" t="s">
        <v>39</v>
      </c>
      <c r="AC83" s="17" t="s">
        <v>526</v>
      </c>
    </row>
    <row r="84">
      <c r="A84" s="17">
        <v>82.0</v>
      </c>
      <c r="B84" s="20">
        <v>46235.0</v>
      </c>
      <c r="C84" s="17" t="s">
        <v>527</v>
      </c>
      <c r="D84" s="17" t="s">
        <v>528</v>
      </c>
      <c r="E84" s="19" t="s">
        <v>102</v>
      </c>
      <c r="F84" s="17" t="s">
        <v>111</v>
      </c>
      <c r="G84" s="17" t="s">
        <v>529</v>
      </c>
      <c r="H84" s="19" t="s">
        <v>530</v>
      </c>
      <c r="I84" s="19" t="s">
        <v>531</v>
      </c>
      <c r="J84" s="19" t="s">
        <v>33</v>
      </c>
      <c r="K84" s="19">
        <v>818.0</v>
      </c>
      <c r="L84" s="20">
        <v>46661.0</v>
      </c>
      <c r="M84" s="19" t="s">
        <v>107</v>
      </c>
      <c r="N84" s="21" t="s">
        <v>58</v>
      </c>
      <c r="O84" s="19" t="s">
        <v>119</v>
      </c>
      <c r="P84" s="19" t="s">
        <v>60</v>
      </c>
      <c r="Q84" s="17" t="s">
        <v>38</v>
      </c>
      <c r="R84" s="22">
        <v>46661.0</v>
      </c>
      <c r="S84" s="19" t="s">
        <v>532</v>
      </c>
      <c r="T84" s="19" t="s">
        <v>533</v>
      </c>
      <c r="U84" s="19" t="s">
        <v>33</v>
      </c>
      <c r="V84" s="24">
        <v>6473.0</v>
      </c>
      <c r="W84" s="24">
        <v>7639.0</v>
      </c>
      <c r="X84" s="19">
        <v>6500.0</v>
      </c>
      <c r="Y84" s="19">
        <v>6000.0</v>
      </c>
      <c r="Z84" s="15">
        <f t="shared" si="1"/>
        <v>1639</v>
      </c>
      <c r="AA84" s="15">
        <f t="shared" si="2"/>
        <v>-500</v>
      </c>
      <c r="AB84" s="19" t="s">
        <v>39</v>
      </c>
      <c r="AC84" s="17" t="s">
        <v>534</v>
      </c>
    </row>
    <row r="85">
      <c r="A85" s="17">
        <v>83.0</v>
      </c>
      <c r="B85" s="20">
        <v>46235.0</v>
      </c>
      <c r="C85" s="17" t="s">
        <v>535</v>
      </c>
      <c r="D85" s="17" t="s">
        <v>536</v>
      </c>
      <c r="E85" s="19" t="s">
        <v>102</v>
      </c>
      <c r="F85" s="17" t="s">
        <v>111</v>
      </c>
      <c r="G85" s="17" t="s">
        <v>537</v>
      </c>
      <c r="H85" s="19">
        <v>9.51090669E9</v>
      </c>
      <c r="I85" s="19">
        <v>9.71475523E9</v>
      </c>
      <c r="J85" s="19" t="s">
        <v>105</v>
      </c>
      <c r="K85" s="19">
        <v>818.0</v>
      </c>
      <c r="L85" s="20">
        <v>46539.0</v>
      </c>
      <c r="M85" s="19" t="s">
        <v>107</v>
      </c>
      <c r="N85" s="21" t="s">
        <v>58</v>
      </c>
      <c r="O85" s="19" t="s">
        <v>36</v>
      </c>
      <c r="P85" s="19" t="s">
        <v>60</v>
      </c>
      <c r="Q85" s="17" t="s">
        <v>38</v>
      </c>
      <c r="R85" s="22">
        <v>46966.0</v>
      </c>
      <c r="S85" s="22">
        <v>46539.0</v>
      </c>
      <c r="T85" s="22">
        <v>47392.0</v>
      </c>
      <c r="U85" s="19" t="s">
        <v>33</v>
      </c>
      <c r="V85" s="23">
        <v>6559.0</v>
      </c>
      <c r="W85" s="23">
        <v>7740.0</v>
      </c>
      <c r="X85" s="19">
        <v>6500.0</v>
      </c>
      <c r="Y85" s="19">
        <v>6500.0</v>
      </c>
      <c r="Z85" s="14">
        <f t="shared" si="1"/>
        <v>1240</v>
      </c>
      <c r="AA85" s="15">
        <f t="shared" si="2"/>
        <v>0</v>
      </c>
      <c r="AB85" s="19" t="s">
        <v>39</v>
      </c>
      <c r="AC85" s="17" t="s">
        <v>538</v>
      </c>
    </row>
    <row r="86">
      <c r="A86" s="35">
        <v>84.0</v>
      </c>
      <c r="B86" s="38">
        <v>46235.0</v>
      </c>
      <c r="C86" s="35" t="s">
        <v>539</v>
      </c>
      <c r="D86" s="35" t="s">
        <v>540</v>
      </c>
      <c r="E86" s="37" t="s">
        <v>88</v>
      </c>
      <c r="F86" s="35" t="s">
        <v>89</v>
      </c>
      <c r="G86" s="35" t="s">
        <v>541</v>
      </c>
      <c r="H86" s="37" t="s">
        <v>542</v>
      </c>
      <c r="I86" s="37" t="s">
        <v>33</v>
      </c>
      <c r="J86" s="37" t="s">
        <v>33</v>
      </c>
      <c r="K86" s="37">
        <v>25000.0</v>
      </c>
      <c r="L86" s="38">
        <v>46661.0</v>
      </c>
      <c r="M86" s="37" t="s">
        <v>92</v>
      </c>
      <c r="N86" s="39" t="s">
        <v>46</v>
      </c>
      <c r="O86" s="37" t="s">
        <v>66</v>
      </c>
      <c r="P86" s="37" t="s">
        <v>79</v>
      </c>
      <c r="Q86" s="35" t="s">
        <v>38</v>
      </c>
      <c r="R86" s="37" t="s">
        <v>543</v>
      </c>
      <c r="S86" s="37" t="s">
        <v>544</v>
      </c>
      <c r="T86" s="37" t="s">
        <v>545</v>
      </c>
      <c r="U86" s="37" t="s">
        <v>33</v>
      </c>
      <c r="V86" s="41">
        <v>44050.0</v>
      </c>
      <c r="W86" s="41">
        <v>46266.0</v>
      </c>
      <c r="X86" s="48">
        <v>46266.0</v>
      </c>
      <c r="Y86" s="37">
        <v>29000.0</v>
      </c>
      <c r="Z86" s="45">
        <f t="shared" si="1"/>
        <v>17266</v>
      </c>
      <c r="AA86" s="15">
        <f t="shared" si="2"/>
        <v>-17266</v>
      </c>
      <c r="AB86" s="37" t="s">
        <v>39</v>
      </c>
      <c r="AC86" s="35" t="s">
        <v>546</v>
      </c>
    </row>
    <row r="87">
      <c r="A87" s="17">
        <v>85.0</v>
      </c>
      <c r="B87" s="20">
        <v>46235.0</v>
      </c>
      <c r="C87" s="17" t="s">
        <v>547</v>
      </c>
      <c r="D87" s="17" t="s">
        <v>548</v>
      </c>
      <c r="E87" s="19" t="s">
        <v>30</v>
      </c>
      <c r="F87" s="17" t="s">
        <v>549</v>
      </c>
      <c r="G87" s="17" t="s">
        <v>550</v>
      </c>
      <c r="H87" s="19">
        <v>9.773034312E9</v>
      </c>
      <c r="I87" s="19" t="s">
        <v>33</v>
      </c>
      <c r="J87" s="19" t="s">
        <v>33</v>
      </c>
      <c r="K87" s="19">
        <v>1197.0</v>
      </c>
      <c r="L87" s="30">
        <v>46569.0</v>
      </c>
      <c r="M87" s="19" t="s">
        <v>152</v>
      </c>
      <c r="N87" s="21" t="s">
        <v>46</v>
      </c>
      <c r="O87" s="19" t="s">
        <v>198</v>
      </c>
      <c r="P87" s="19" t="s">
        <v>37</v>
      </c>
      <c r="Q87" s="17" t="s">
        <v>38</v>
      </c>
      <c r="R87" s="22">
        <v>50228.0</v>
      </c>
      <c r="S87" s="19" t="s">
        <v>551</v>
      </c>
      <c r="T87" s="19" t="s">
        <v>33</v>
      </c>
      <c r="U87" s="19" t="s">
        <v>33</v>
      </c>
      <c r="V87" s="23">
        <v>3416.0</v>
      </c>
      <c r="W87" s="23">
        <v>4031.0</v>
      </c>
      <c r="X87" s="19">
        <v>4000.0</v>
      </c>
      <c r="Y87" s="19">
        <v>4000.0</v>
      </c>
      <c r="Z87" s="14">
        <f t="shared" si="1"/>
        <v>31</v>
      </c>
      <c r="AA87" s="15">
        <f t="shared" si="2"/>
        <v>0</v>
      </c>
      <c r="AB87" s="19" t="s">
        <v>39</v>
      </c>
      <c r="AC87" s="17" t="s">
        <v>552</v>
      </c>
    </row>
    <row r="88">
      <c r="A88" s="17">
        <v>86.0</v>
      </c>
      <c r="B88" s="20">
        <v>46235.0</v>
      </c>
      <c r="C88" s="17" t="s">
        <v>553</v>
      </c>
      <c r="D88" s="17" t="s">
        <v>554</v>
      </c>
      <c r="E88" s="19" t="s">
        <v>52</v>
      </c>
      <c r="F88" s="17" t="s">
        <v>555</v>
      </c>
      <c r="G88" s="17" t="s">
        <v>556</v>
      </c>
      <c r="H88" s="19">
        <v>8.153032963E9</v>
      </c>
      <c r="I88" s="19">
        <v>9.925985055E9</v>
      </c>
      <c r="J88" s="19" t="s">
        <v>33</v>
      </c>
      <c r="K88" s="19">
        <v>3460.0</v>
      </c>
      <c r="L88" s="20">
        <v>46539.0</v>
      </c>
      <c r="M88" s="19" t="s">
        <v>57</v>
      </c>
      <c r="N88" s="21" t="s">
        <v>58</v>
      </c>
      <c r="O88" s="19" t="s">
        <v>66</v>
      </c>
      <c r="P88" s="19" t="s">
        <v>60</v>
      </c>
      <c r="Q88" s="17" t="s">
        <v>38</v>
      </c>
      <c r="R88" s="22">
        <v>47027.0</v>
      </c>
      <c r="S88" s="19" t="s">
        <v>557</v>
      </c>
      <c r="T88" s="19" t="s">
        <v>558</v>
      </c>
      <c r="U88" s="19" t="s">
        <v>33</v>
      </c>
      <c r="V88" s="23">
        <v>21696.0</v>
      </c>
      <c r="W88" s="23">
        <v>23504.0</v>
      </c>
      <c r="X88" s="19">
        <v>15190.0</v>
      </c>
      <c r="Y88" s="19">
        <v>16000.0</v>
      </c>
      <c r="Z88" s="14">
        <f t="shared" si="1"/>
        <v>7504</v>
      </c>
      <c r="AA88" s="15">
        <f t="shared" si="2"/>
        <v>810</v>
      </c>
      <c r="AB88" s="19" t="s">
        <v>39</v>
      </c>
      <c r="AC88" s="17" t="s">
        <v>559</v>
      </c>
    </row>
    <row r="89">
      <c r="A89" s="35">
        <v>87.0</v>
      </c>
      <c r="B89" s="38">
        <v>46235.0</v>
      </c>
      <c r="C89" s="35" t="s">
        <v>560</v>
      </c>
      <c r="D89" s="35" t="s">
        <v>561</v>
      </c>
      <c r="E89" s="37" t="s">
        <v>88</v>
      </c>
      <c r="F89" s="35" t="s">
        <v>562</v>
      </c>
      <c r="G89" s="35" t="s">
        <v>563</v>
      </c>
      <c r="H89" s="37" t="s">
        <v>542</v>
      </c>
      <c r="I89" s="37" t="s">
        <v>33</v>
      </c>
      <c r="J89" s="37" t="s">
        <v>33</v>
      </c>
      <c r="K89" s="37">
        <v>35000.0</v>
      </c>
      <c r="L89" s="38">
        <v>46569.0</v>
      </c>
      <c r="M89" s="37" t="s">
        <v>45</v>
      </c>
      <c r="N89" s="39" t="s">
        <v>58</v>
      </c>
      <c r="O89" s="37" t="s">
        <v>66</v>
      </c>
      <c r="P89" s="37" t="s">
        <v>79</v>
      </c>
      <c r="Q89" s="35" t="s">
        <v>38</v>
      </c>
      <c r="R89" s="43">
        <v>46204.0</v>
      </c>
      <c r="S89" s="37" t="s">
        <v>504</v>
      </c>
      <c r="T89" s="37" t="s">
        <v>324</v>
      </c>
      <c r="U89" s="37" t="s">
        <v>33</v>
      </c>
      <c r="V89" s="41">
        <v>77887.0</v>
      </c>
      <c r="W89" s="41">
        <v>86193.0</v>
      </c>
      <c r="X89" s="37">
        <v>73000.0</v>
      </c>
      <c r="Y89" s="37">
        <v>70193.0</v>
      </c>
      <c r="Z89" s="45">
        <f t="shared" si="1"/>
        <v>16000</v>
      </c>
      <c r="AA89" s="15">
        <f t="shared" si="2"/>
        <v>-2807</v>
      </c>
      <c r="AB89" s="37" t="s">
        <v>39</v>
      </c>
      <c r="AC89" s="35" t="s">
        <v>564</v>
      </c>
    </row>
    <row r="90">
      <c r="A90" s="35">
        <v>88.0</v>
      </c>
      <c r="B90" s="38">
        <v>46235.0</v>
      </c>
      <c r="C90" s="35" t="s">
        <v>565</v>
      </c>
      <c r="D90" s="35" t="s">
        <v>566</v>
      </c>
      <c r="E90" s="37" t="s">
        <v>88</v>
      </c>
      <c r="F90" s="35" t="s">
        <v>562</v>
      </c>
      <c r="G90" s="35" t="s">
        <v>563</v>
      </c>
      <c r="H90" s="37" t="s">
        <v>542</v>
      </c>
      <c r="I90" s="37" t="s">
        <v>33</v>
      </c>
      <c r="J90" s="37" t="s">
        <v>33</v>
      </c>
      <c r="K90" s="37">
        <v>35000.0</v>
      </c>
      <c r="L90" s="38">
        <v>46569.0</v>
      </c>
      <c r="M90" s="37" t="s">
        <v>45</v>
      </c>
      <c r="N90" s="39" t="s">
        <v>58</v>
      </c>
      <c r="O90" s="37" t="s">
        <v>66</v>
      </c>
      <c r="P90" s="37" t="s">
        <v>79</v>
      </c>
      <c r="Q90" s="35" t="s">
        <v>38</v>
      </c>
      <c r="R90" s="43">
        <v>46204.0</v>
      </c>
      <c r="S90" s="37" t="s">
        <v>504</v>
      </c>
      <c r="T90" s="37" t="s">
        <v>324</v>
      </c>
      <c r="U90" s="37" t="s">
        <v>33</v>
      </c>
      <c r="V90" s="41">
        <v>77887.0</v>
      </c>
      <c r="W90" s="41">
        <v>86193.0</v>
      </c>
      <c r="X90" s="48">
        <v>73000.0</v>
      </c>
      <c r="Y90" s="37">
        <v>70193.0</v>
      </c>
      <c r="Z90" s="45">
        <f t="shared" si="1"/>
        <v>16000</v>
      </c>
      <c r="AA90" s="15">
        <f t="shared" si="2"/>
        <v>-2807</v>
      </c>
      <c r="AB90" s="37" t="s">
        <v>39</v>
      </c>
      <c r="AC90" s="35" t="s">
        <v>567</v>
      </c>
    </row>
    <row r="91">
      <c r="A91" s="35">
        <v>89.0</v>
      </c>
      <c r="B91" s="38">
        <v>46235.0</v>
      </c>
      <c r="C91" s="35" t="s">
        <v>568</v>
      </c>
      <c r="D91" s="35" t="s">
        <v>569</v>
      </c>
      <c r="E91" s="37" t="s">
        <v>88</v>
      </c>
      <c r="F91" s="35" t="s">
        <v>562</v>
      </c>
      <c r="G91" s="35" t="s">
        <v>563</v>
      </c>
      <c r="H91" s="37" t="s">
        <v>542</v>
      </c>
      <c r="I91" s="37" t="s">
        <v>33</v>
      </c>
      <c r="J91" s="37" t="s">
        <v>33</v>
      </c>
      <c r="K91" s="37">
        <v>35000.0</v>
      </c>
      <c r="L91" s="38">
        <v>46570.0</v>
      </c>
      <c r="M91" s="37" t="s">
        <v>45</v>
      </c>
      <c r="N91" s="39" t="s">
        <v>58</v>
      </c>
      <c r="O91" s="37" t="s">
        <v>66</v>
      </c>
      <c r="P91" s="37" t="s">
        <v>79</v>
      </c>
      <c r="Q91" s="35" t="s">
        <v>38</v>
      </c>
      <c r="R91" s="40">
        <v>46204.0</v>
      </c>
      <c r="S91" s="37" t="s">
        <v>504</v>
      </c>
      <c r="T91" s="37" t="s">
        <v>324</v>
      </c>
      <c r="U91" s="37" t="s">
        <v>33</v>
      </c>
      <c r="V91" s="37">
        <v>77887.0</v>
      </c>
      <c r="W91" s="48">
        <v>86193.0</v>
      </c>
      <c r="X91" s="48">
        <v>73000.0</v>
      </c>
      <c r="Y91" s="37">
        <v>70193.0</v>
      </c>
      <c r="Z91" s="49">
        <f t="shared" si="1"/>
        <v>16000</v>
      </c>
      <c r="AA91" s="15">
        <f t="shared" si="2"/>
        <v>-2807</v>
      </c>
      <c r="AB91" s="37" t="s">
        <v>39</v>
      </c>
      <c r="AC91" s="35" t="s">
        <v>564</v>
      </c>
    </row>
    <row r="92">
      <c r="A92" s="17">
        <v>90.0</v>
      </c>
      <c r="B92" s="20">
        <v>46235.0</v>
      </c>
      <c r="C92" s="17" t="s">
        <v>570</v>
      </c>
      <c r="D92" s="17" t="s">
        <v>571</v>
      </c>
      <c r="E92" s="19" t="s">
        <v>75</v>
      </c>
      <c r="F92" s="17" t="s">
        <v>572</v>
      </c>
      <c r="G92" s="17" t="s">
        <v>573</v>
      </c>
      <c r="H92" s="19">
        <v>8.141197899E9</v>
      </c>
      <c r="I92" s="19">
        <v>9.099747536E9</v>
      </c>
      <c r="J92" s="19" t="s">
        <v>33</v>
      </c>
      <c r="K92" s="19">
        <v>100.0</v>
      </c>
      <c r="L92" s="30">
        <v>46569.0</v>
      </c>
      <c r="M92" s="19" t="s">
        <v>574</v>
      </c>
      <c r="N92" s="21" t="s">
        <v>46</v>
      </c>
      <c r="O92" s="19" t="s">
        <v>36</v>
      </c>
      <c r="P92" s="19" t="s">
        <v>37</v>
      </c>
      <c r="Q92" s="17" t="s">
        <v>38</v>
      </c>
      <c r="R92" s="19" t="s">
        <v>575</v>
      </c>
      <c r="S92" s="22">
        <v>46180.0</v>
      </c>
      <c r="T92" s="19" t="s">
        <v>33</v>
      </c>
      <c r="U92" s="19" t="s">
        <v>33</v>
      </c>
      <c r="V92" s="23">
        <v>714.0</v>
      </c>
      <c r="W92" s="23">
        <v>842.52</v>
      </c>
      <c r="X92" s="19">
        <v>850.0</v>
      </c>
      <c r="Y92" s="19">
        <v>850.0</v>
      </c>
      <c r="Z92" s="14">
        <f t="shared" si="1"/>
        <v>-7.48</v>
      </c>
      <c r="AA92" s="15">
        <f t="shared" si="2"/>
        <v>0</v>
      </c>
      <c r="AB92" s="19" t="s">
        <v>39</v>
      </c>
      <c r="AC92" s="17" t="s">
        <v>576</v>
      </c>
    </row>
    <row r="93">
      <c r="A93" s="17">
        <v>91.0</v>
      </c>
      <c r="B93" s="20">
        <v>46235.0</v>
      </c>
      <c r="C93" s="17" t="s">
        <v>577</v>
      </c>
      <c r="D93" s="17" t="s">
        <v>578</v>
      </c>
      <c r="E93" s="19" t="s">
        <v>75</v>
      </c>
      <c r="F93" s="17" t="s">
        <v>579</v>
      </c>
      <c r="G93" s="17" t="s">
        <v>580</v>
      </c>
      <c r="H93" s="19">
        <v>9.825765417E9</v>
      </c>
      <c r="I93" s="19" t="s">
        <v>33</v>
      </c>
      <c r="J93" s="19" t="s">
        <v>357</v>
      </c>
      <c r="K93" s="19">
        <v>97.0</v>
      </c>
      <c r="L93" s="30">
        <v>46569.0</v>
      </c>
      <c r="M93" s="19" t="s">
        <v>574</v>
      </c>
      <c r="N93" s="21" t="s">
        <v>46</v>
      </c>
      <c r="O93" s="19" t="s">
        <v>66</v>
      </c>
      <c r="P93" s="19" t="s">
        <v>37</v>
      </c>
      <c r="Q93" s="17" t="s">
        <v>38</v>
      </c>
      <c r="R93" s="19" t="s">
        <v>581</v>
      </c>
      <c r="S93" s="22">
        <v>46210.0</v>
      </c>
      <c r="T93" s="19" t="s">
        <v>33</v>
      </c>
      <c r="U93" s="19" t="s">
        <v>33</v>
      </c>
      <c r="V93" s="23">
        <v>714.0</v>
      </c>
      <c r="W93" s="23">
        <v>842.52</v>
      </c>
      <c r="X93" s="19">
        <v>850.0</v>
      </c>
      <c r="Y93" s="19">
        <v>850.0</v>
      </c>
      <c r="Z93" s="14">
        <f t="shared" si="1"/>
        <v>-7.48</v>
      </c>
      <c r="AA93" s="15">
        <f t="shared" si="2"/>
        <v>0</v>
      </c>
      <c r="AB93" s="19" t="s">
        <v>39</v>
      </c>
      <c r="AC93" s="17" t="s">
        <v>582</v>
      </c>
    </row>
    <row r="94">
      <c r="A94" s="17">
        <v>92.0</v>
      </c>
      <c r="B94" s="20">
        <v>46235.0</v>
      </c>
      <c r="C94" s="17" t="s">
        <v>583</v>
      </c>
      <c r="D94" s="17" t="s">
        <v>584</v>
      </c>
      <c r="E94" s="19" t="s">
        <v>30</v>
      </c>
      <c r="F94" s="17" t="s">
        <v>43</v>
      </c>
      <c r="G94" s="17" t="s">
        <v>585</v>
      </c>
      <c r="H94" s="19">
        <v>6.355720147E9</v>
      </c>
      <c r="I94" s="19">
        <v>7.802816245E9</v>
      </c>
      <c r="J94" s="19" t="s">
        <v>33</v>
      </c>
      <c r="K94" s="19">
        <v>1197.0</v>
      </c>
      <c r="L94" s="30">
        <v>46569.0</v>
      </c>
      <c r="M94" s="19" t="s">
        <v>45</v>
      </c>
      <c r="N94" s="21" t="s">
        <v>46</v>
      </c>
      <c r="O94" s="19" t="s">
        <v>431</v>
      </c>
      <c r="P94" s="19" t="s">
        <v>37</v>
      </c>
      <c r="Q94" s="17" t="s">
        <v>38</v>
      </c>
      <c r="R94" s="22">
        <v>50650.0</v>
      </c>
      <c r="S94" s="22">
        <v>45537.0</v>
      </c>
      <c r="T94" s="19" t="s">
        <v>33</v>
      </c>
      <c r="U94" s="19" t="s">
        <v>33</v>
      </c>
      <c r="V94" s="23">
        <v>3741.0</v>
      </c>
      <c r="W94" s="23">
        <v>4414.0</v>
      </c>
      <c r="X94" s="19">
        <v>4500.0</v>
      </c>
      <c r="Y94" s="19">
        <v>4500.0</v>
      </c>
      <c r="Z94" s="14">
        <f t="shared" si="1"/>
        <v>-86</v>
      </c>
      <c r="AA94" s="15">
        <f t="shared" si="2"/>
        <v>0</v>
      </c>
      <c r="AB94" s="19" t="s">
        <v>39</v>
      </c>
      <c r="AC94" s="17" t="s">
        <v>586</v>
      </c>
    </row>
    <row r="95">
      <c r="A95" s="17">
        <v>93.0</v>
      </c>
      <c r="B95" s="20">
        <v>46235.0</v>
      </c>
      <c r="C95" s="17" t="s">
        <v>587</v>
      </c>
      <c r="D95" s="17" t="s">
        <v>588</v>
      </c>
      <c r="E95" s="19" t="s">
        <v>33</v>
      </c>
      <c r="F95" s="17" t="s">
        <v>589</v>
      </c>
      <c r="G95" s="17" t="s">
        <v>590</v>
      </c>
      <c r="H95" s="19">
        <v>9.979374474E9</v>
      </c>
      <c r="I95" s="19">
        <v>9.067593333E9</v>
      </c>
      <c r="J95" s="19" t="s">
        <v>33</v>
      </c>
      <c r="K95" s="19" t="s">
        <v>33</v>
      </c>
      <c r="L95" s="50">
        <v>46539.0</v>
      </c>
      <c r="M95" s="19" t="s">
        <v>591</v>
      </c>
      <c r="N95" s="21" t="s">
        <v>58</v>
      </c>
      <c r="O95" s="19" t="s">
        <v>161</v>
      </c>
      <c r="P95" s="19" t="s">
        <v>79</v>
      </c>
      <c r="Q95" s="17" t="s">
        <v>38</v>
      </c>
      <c r="R95" s="19" t="s">
        <v>33</v>
      </c>
      <c r="S95" s="19" t="s">
        <v>33</v>
      </c>
      <c r="T95" s="19" t="s">
        <v>33</v>
      </c>
      <c r="U95" s="19" t="s">
        <v>33</v>
      </c>
      <c r="V95" s="23">
        <v>7386.8</v>
      </c>
      <c r="W95" s="23">
        <v>8716.0</v>
      </c>
      <c r="X95" s="19">
        <v>8716.0</v>
      </c>
      <c r="Y95" s="19">
        <v>8716.0</v>
      </c>
      <c r="Z95" s="14">
        <f t="shared" si="1"/>
        <v>0</v>
      </c>
      <c r="AA95" s="15">
        <f t="shared" si="2"/>
        <v>0</v>
      </c>
      <c r="AB95" s="19" t="s">
        <v>33</v>
      </c>
      <c r="AC95" s="17" t="s">
        <v>592</v>
      </c>
    </row>
    <row r="96">
      <c r="A96" s="17">
        <v>94.0</v>
      </c>
      <c r="B96" s="20">
        <v>46235.0</v>
      </c>
      <c r="C96" s="17" t="s">
        <v>593</v>
      </c>
      <c r="D96" s="17" t="s">
        <v>594</v>
      </c>
      <c r="E96" s="19" t="s">
        <v>88</v>
      </c>
      <c r="F96" s="17" t="s">
        <v>355</v>
      </c>
      <c r="G96" s="17" t="s">
        <v>595</v>
      </c>
      <c r="H96" s="19">
        <v>9.825051721E9</v>
      </c>
      <c r="I96" s="19">
        <v>8.485993847E9</v>
      </c>
      <c r="J96" s="19" t="s">
        <v>33</v>
      </c>
      <c r="K96" s="19">
        <v>35000.0</v>
      </c>
      <c r="L96" s="30">
        <v>46569.0</v>
      </c>
      <c r="M96" s="19" t="s">
        <v>57</v>
      </c>
      <c r="N96" s="21" t="s">
        <v>58</v>
      </c>
      <c r="O96" s="19" t="s">
        <v>66</v>
      </c>
      <c r="P96" s="19" t="s">
        <v>60</v>
      </c>
      <c r="Q96" s="17" t="s">
        <v>38</v>
      </c>
      <c r="R96" s="25">
        <v>46116.0</v>
      </c>
      <c r="S96" s="19" t="s">
        <v>163</v>
      </c>
      <c r="T96" s="19" t="s">
        <v>441</v>
      </c>
      <c r="U96" s="19" t="s">
        <v>33</v>
      </c>
      <c r="V96" s="23">
        <v>50690.0</v>
      </c>
      <c r="W96" s="23">
        <v>54088.0</v>
      </c>
      <c r="X96" s="19">
        <v>42541.0</v>
      </c>
      <c r="Y96" s="19">
        <v>42500.0</v>
      </c>
      <c r="Z96" s="14">
        <f t="shared" si="1"/>
        <v>11588</v>
      </c>
      <c r="AA96" s="15">
        <f t="shared" si="2"/>
        <v>-41</v>
      </c>
      <c r="AB96" s="19" t="s">
        <v>39</v>
      </c>
      <c r="AC96" s="17" t="s">
        <v>596</v>
      </c>
    </row>
    <row r="97">
      <c r="A97" s="17">
        <v>95.0</v>
      </c>
      <c r="B97" s="20">
        <v>46235.0</v>
      </c>
      <c r="C97" s="17" t="s">
        <v>597</v>
      </c>
      <c r="D97" s="17" t="s">
        <v>598</v>
      </c>
      <c r="E97" s="19" t="s">
        <v>88</v>
      </c>
      <c r="F97" s="17" t="s">
        <v>355</v>
      </c>
      <c r="G97" s="17" t="s">
        <v>595</v>
      </c>
      <c r="H97" s="19">
        <v>9.825051721E9</v>
      </c>
      <c r="I97" s="19">
        <v>8.485993847E9</v>
      </c>
      <c r="J97" s="19" t="s">
        <v>33</v>
      </c>
      <c r="K97" s="19">
        <v>35000.0</v>
      </c>
      <c r="L97" s="30">
        <v>46569.0</v>
      </c>
      <c r="M97" s="19" t="s">
        <v>57</v>
      </c>
      <c r="N97" s="21" t="s">
        <v>58</v>
      </c>
      <c r="O97" s="19" t="s">
        <v>66</v>
      </c>
      <c r="P97" s="19" t="s">
        <v>60</v>
      </c>
      <c r="Q97" s="17" t="s">
        <v>38</v>
      </c>
      <c r="R97" s="22">
        <v>46116.0</v>
      </c>
      <c r="S97" s="19" t="s">
        <v>163</v>
      </c>
      <c r="T97" s="19" t="s">
        <v>441</v>
      </c>
      <c r="U97" s="19" t="s">
        <v>33</v>
      </c>
      <c r="V97" s="23">
        <v>50690.0</v>
      </c>
      <c r="W97" s="23">
        <v>54088.0</v>
      </c>
      <c r="X97" s="19">
        <v>42541.0</v>
      </c>
      <c r="Y97" s="19">
        <v>42500.0</v>
      </c>
      <c r="Z97" s="14">
        <f t="shared" si="1"/>
        <v>11588</v>
      </c>
      <c r="AA97" s="15">
        <f t="shared" si="2"/>
        <v>-41</v>
      </c>
      <c r="AB97" s="19" t="s">
        <v>39</v>
      </c>
      <c r="AC97" s="17" t="s">
        <v>596</v>
      </c>
    </row>
    <row r="98">
      <c r="A98" s="17">
        <v>96.0</v>
      </c>
      <c r="B98" s="20">
        <v>46235.0</v>
      </c>
      <c r="C98" s="17" t="s">
        <v>599</v>
      </c>
      <c r="D98" s="17" t="s">
        <v>600</v>
      </c>
      <c r="E98" s="19" t="s">
        <v>88</v>
      </c>
      <c r="F98" s="17" t="s">
        <v>355</v>
      </c>
      <c r="G98" s="17" t="s">
        <v>595</v>
      </c>
      <c r="H98" s="19">
        <v>9.825051721E9</v>
      </c>
      <c r="I98" s="19">
        <v>8.485993847E9</v>
      </c>
      <c r="J98" s="19" t="s">
        <v>33</v>
      </c>
      <c r="K98" s="19">
        <v>35000.0</v>
      </c>
      <c r="L98" s="30">
        <v>46569.0</v>
      </c>
      <c r="M98" s="19" t="s">
        <v>57</v>
      </c>
      <c r="N98" s="21" t="s">
        <v>58</v>
      </c>
      <c r="O98" s="19" t="s">
        <v>66</v>
      </c>
      <c r="P98" s="19" t="s">
        <v>60</v>
      </c>
      <c r="Q98" s="17" t="s">
        <v>38</v>
      </c>
      <c r="R98" s="22">
        <v>46151.0</v>
      </c>
      <c r="S98" s="25">
        <v>46307.0</v>
      </c>
      <c r="T98" s="19" t="s">
        <v>441</v>
      </c>
      <c r="U98" s="19" t="s">
        <v>33</v>
      </c>
      <c r="V98" s="23">
        <v>50690.0</v>
      </c>
      <c r="W98" s="23">
        <v>54088.0</v>
      </c>
      <c r="X98" s="19">
        <v>42541.0</v>
      </c>
      <c r="Y98" s="19">
        <v>42500.0</v>
      </c>
      <c r="Z98" s="14">
        <f t="shared" si="1"/>
        <v>11588</v>
      </c>
      <c r="AA98" s="15">
        <f t="shared" si="2"/>
        <v>-41</v>
      </c>
      <c r="AB98" s="19" t="s">
        <v>39</v>
      </c>
      <c r="AC98" s="17" t="s">
        <v>596</v>
      </c>
    </row>
    <row r="99">
      <c r="A99" s="17">
        <v>97.0</v>
      </c>
      <c r="B99" s="20">
        <v>46235.0</v>
      </c>
      <c r="C99" s="17" t="s">
        <v>601</v>
      </c>
      <c r="D99" s="17" t="s">
        <v>602</v>
      </c>
      <c r="E99" s="19" t="s">
        <v>88</v>
      </c>
      <c r="F99" s="17" t="s">
        <v>355</v>
      </c>
      <c r="G99" s="17" t="s">
        <v>595</v>
      </c>
      <c r="H99" s="19">
        <v>9.825051721E9</v>
      </c>
      <c r="I99" s="19">
        <v>8.485993847E9</v>
      </c>
      <c r="J99" s="19" t="s">
        <v>33</v>
      </c>
      <c r="K99" s="19">
        <v>35000.0</v>
      </c>
      <c r="L99" s="30">
        <v>46569.0</v>
      </c>
      <c r="M99" s="19" t="s">
        <v>57</v>
      </c>
      <c r="N99" s="21" t="s">
        <v>58</v>
      </c>
      <c r="O99" s="19" t="s">
        <v>66</v>
      </c>
      <c r="P99" s="19" t="s">
        <v>60</v>
      </c>
      <c r="Q99" s="17" t="s">
        <v>38</v>
      </c>
      <c r="R99" s="22">
        <v>46116.0</v>
      </c>
      <c r="S99" s="19" t="s">
        <v>163</v>
      </c>
      <c r="T99" s="19" t="s">
        <v>441</v>
      </c>
      <c r="U99" s="19" t="s">
        <v>33</v>
      </c>
      <c r="V99" s="23">
        <v>50690.0</v>
      </c>
      <c r="W99" s="23">
        <v>54088.0</v>
      </c>
      <c r="X99" s="19">
        <v>42541.0</v>
      </c>
      <c r="Y99" s="19">
        <v>42500.0</v>
      </c>
      <c r="Z99" s="14">
        <f t="shared" si="1"/>
        <v>11588</v>
      </c>
      <c r="AA99" s="15">
        <f t="shared" si="2"/>
        <v>-41</v>
      </c>
      <c r="AB99" s="19" t="s">
        <v>39</v>
      </c>
      <c r="AC99" s="17" t="s">
        <v>596</v>
      </c>
    </row>
    <row r="100">
      <c r="A100" s="17">
        <v>98.0</v>
      </c>
      <c r="B100" s="20">
        <v>46235.0</v>
      </c>
      <c r="C100" s="17" t="s">
        <v>603</v>
      </c>
      <c r="D100" s="17" t="s">
        <v>604</v>
      </c>
      <c r="E100" s="19" t="s">
        <v>88</v>
      </c>
      <c r="F100" s="17" t="s">
        <v>355</v>
      </c>
      <c r="G100" s="17" t="s">
        <v>595</v>
      </c>
      <c r="H100" s="19">
        <v>9.825051721E9</v>
      </c>
      <c r="I100" s="19">
        <v>8.485993847E9</v>
      </c>
      <c r="J100" s="19" t="s">
        <v>33</v>
      </c>
      <c r="K100" s="19">
        <v>35000.0</v>
      </c>
      <c r="L100" s="30">
        <v>46569.0</v>
      </c>
      <c r="M100" s="19" t="s">
        <v>57</v>
      </c>
      <c r="N100" s="21" t="s">
        <v>58</v>
      </c>
      <c r="O100" s="19" t="s">
        <v>66</v>
      </c>
      <c r="P100" s="19" t="s">
        <v>60</v>
      </c>
      <c r="Q100" s="17" t="s">
        <v>38</v>
      </c>
      <c r="R100" s="22">
        <v>46151.0</v>
      </c>
      <c r="S100" s="22">
        <v>46027.0</v>
      </c>
      <c r="T100" s="19" t="s">
        <v>441</v>
      </c>
      <c r="U100" s="19" t="s">
        <v>33</v>
      </c>
      <c r="V100" s="23">
        <v>50690.0</v>
      </c>
      <c r="W100" s="23">
        <v>54088.0</v>
      </c>
      <c r="X100" s="19">
        <v>42541.0</v>
      </c>
      <c r="Y100" s="19">
        <v>42500.0</v>
      </c>
      <c r="Z100" s="14">
        <f t="shared" si="1"/>
        <v>11588</v>
      </c>
      <c r="AA100" s="15">
        <f t="shared" si="2"/>
        <v>-41</v>
      </c>
      <c r="AB100" s="19" t="s">
        <v>39</v>
      </c>
      <c r="AC100" s="17" t="s">
        <v>596</v>
      </c>
    </row>
    <row r="101">
      <c r="A101" s="17">
        <v>99.0</v>
      </c>
      <c r="B101" s="20">
        <v>46235.0</v>
      </c>
      <c r="C101" s="17" t="s">
        <v>605</v>
      </c>
      <c r="D101" s="17" t="s">
        <v>606</v>
      </c>
      <c r="E101" s="19" t="s">
        <v>88</v>
      </c>
      <c r="F101" s="17" t="s">
        <v>355</v>
      </c>
      <c r="G101" s="17" t="s">
        <v>595</v>
      </c>
      <c r="H101" s="19">
        <v>9.825051721E9</v>
      </c>
      <c r="I101" s="19">
        <v>8.485993847E9</v>
      </c>
      <c r="J101" s="19" t="s">
        <v>33</v>
      </c>
      <c r="K101" s="19">
        <v>35000.0</v>
      </c>
      <c r="L101" s="30">
        <v>46569.0</v>
      </c>
      <c r="M101" s="19" t="s">
        <v>57</v>
      </c>
      <c r="N101" s="21" t="s">
        <v>58</v>
      </c>
      <c r="O101" s="19" t="s">
        <v>66</v>
      </c>
      <c r="P101" s="19" t="s">
        <v>60</v>
      </c>
      <c r="Q101" s="17" t="s">
        <v>38</v>
      </c>
      <c r="R101" s="22">
        <v>46151.0</v>
      </c>
      <c r="S101" s="25">
        <v>46307.0</v>
      </c>
      <c r="T101" s="19" t="s">
        <v>441</v>
      </c>
      <c r="U101" s="19" t="s">
        <v>33</v>
      </c>
      <c r="V101" s="23">
        <v>50690.0</v>
      </c>
      <c r="W101" s="23">
        <v>54088.0</v>
      </c>
      <c r="X101" s="19">
        <v>42541.0</v>
      </c>
      <c r="Y101" s="19">
        <v>42500.0</v>
      </c>
      <c r="Z101" s="14">
        <f t="shared" si="1"/>
        <v>11588</v>
      </c>
      <c r="AA101" s="15">
        <f t="shared" si="2"/>
        <v>-41</v>
      </c>
      <c r="AB101" s="19" t="s">
        <v>39</v>
      </c>
      <c r="AC101" s="17" t="s">
        <v>596</v>
      </c>
    </row>
    <row r="102">
      <c r="A102" s="26">
        <v>100.0</v>
      </c>
      <c r="B102" s="51">
        <v>46266.0</v>
      </c>
      <c r="C102" s="17" t="s">
        <v>607</v>
      </c>
      <c r="D102" s="17" t="s">
        <v>608</v>
      </c>
      <c r="E102" s="19" t="s">
        <v>88</v>
      </c>
      <c r="F102" s="17" t="s">
        <v>609</v>
      </c>
      <c r="G102" s="17" t="s">
        <v>610</v>
      </c>
      <c r="H102" s="19">
        <v>8.141489308E9</v>
      </c>
      <c r="I102" s="19">
        <v>9.724860034E9</v>
      </c>
      <c r="J102" s="19" t="s">
        <v>33</v>
      </c>
      <c r="K102" s="19">
        <v>42000.0</v>
      </c>
      <c r="L102" s="30">
        <v>46569.0</v>
      </c>
      <c r="M102" s="19" t="s">
        <v>285</v>
      </c>
      <c r="N102" s="21" t="s">
        <v>58</v>
      </c>
      <c r="O102" s="19" t="s">
        <v>59</v>
      </c>
      <c r="P102" s="19" t="s">
        <v>79</v>
      </c>
      <c r="Q102" s="17" t="s">
        <v>38</v>
      </c>
      <c r="R102" s="19" t="s">
        <v>611</v>
      </c>
      <c r="S102" s="22">
        <v>46175.0</v>
      </c>
      <c r="T102" s="19" t="s">
        <v>612</v>
      </c>
      <c r="U102" s="19" t="s">
        <v>33</v>
      </c>
      <c r="V102" s="23">
        <v>50213.0</v>
      </c>
      <c r="W102" s="23">
        <v>53500.0</v>
      </c>
      <c r="X102" s="19">
        <v>45943.0</v>
      </c>
      <c r="Y102" s="19">
        <v>46000.0</v>
      </c>
      <c r="Z102" s="14">
        <f t="shared" si="1"/>
        <v>7500</v>
      </c>
      <c r="AA102" s="15">
        <f t="shared" si="2"/>
        <v>57</v>
      </c>
      <c r="AB102" s="19" t="s">
        <v>39</v>
      </c>
      <c r="AC102" s="17" t="s">
        <v>613</v>
      </c>
    </row>
    <row r="103">
      <c r="A103" s="17">
        <v>101.0</v>
      </c>
      <c r="B103" s="51">
        <v>46266.0</v>
      </c>
      <c r="C103" s="17" t="s">
        <v>614</v>
      </c>
      <c r="D103" s="17" t="s">
        <v>615</v>
      </c>
      <c r="E103" s="19" t="s">
        <v>75</v>
      </c>
      <c r="F103" s="17" t="s">
        <v>616</v>
      </c>
      <c r="G103" s="17" t="s">
        <v>617</v>
      </c>
      <c r="H103" s="19">
        <v>9.586131567E9</v>
      </c>
      <c r="I103" s="19" t="s">
        <v>33</v>
      </c>
      <c r="J103" s="19" t="s">
        <v>618</v>
      </c>
      <c r="K103" s="19">
        <v>346.0</v>
      </c>
      <c r="L103" s="20">
        <v>46600.0</v>
      </c>
      <c r="M103" s="19" t="s">
        <v>619</v>
      </c>
      <c r="N103" s="21" t="s">
        <v>46</v>
      </c>
      <c r="O103" s="19" t="s">
        <v>36</v>
      </c>
      <c r="P103" s="19" t="s">
        <v>79</v>
      </c>
      <c r="Q103" s="17" t="s">
        <v>38</v>
      </c>
      <c r="R103" s="25">
        <v>47909.0</v>
      </c>
      <c r="S103" s="22">
        <v>45843.0</v>
      </c>
      <c r="T103" s="19" t="s">
        <v>33</v>
      </c>
      <c r="U103" s="19" t="s">
        <v>33</v>
      </c>
      <c r="V103" s="23">
        <v>1366.0</v>
      </c>
      <c r="W103" s="23">
        <v>1612.0</v>
      </c>
      <c r="X103" s="19">
        <v>1600.0</v>
      </c>
      <c r="Y103" s="19">
        <v>1500.0</v>
      </c>
      <c r="Z103" s="14">
        <f t="shared" si="1"/>
        <v>112</v>
      </c>
      <c r="AA103" s="15">
        <f t="shared" si="2"/>
        <v>-100</v>
      </c>
      <c r="AB103" s="19" t="s">
        <v>39</v>
      </c>
      <c r="AC103" s="17" t="s">
        <v>620</v>
      </c>
    </row>
    <row r="104">
      <c r="A104" s="17">
        <v>102.0</v>
      </c>
      <c r="B104" s="51">
        <v>46266.0</v>
      </c>
      <c r="C104" s="17" t="s">
        <v>621</v>
      </c>
      <c r="D104" s="17" t="s">
        <v>622</v>
      </c>
      <c r="E104" s="19" t="s">
        <v>75</v>
      </c>
      <c r="F104" s="17" t="s">
        <v>623</v>
      </c>
      <c r="G104" s="17" t="s">
        <v>624</v>
      </c>
      <c r="H104" s="19">
        <v>7.990894209E9</v>
      </c>
      <c r="I104" s="19">
        <v>9.925891784E9</v>
      </c>
      <c r="J104" s="19" t="s">
        <v>618</v>
      </c>
      <c r="K104" s="19">
        <v>125.0</v>
      </c>
      <c r="L104" s="20">
        <v>46600.0</v>
      </c>
      <c r="M104" s="19" t="s">
        <v>78</v>
      </c>
      <c r="N104" s="21" t="s">
        <v>46</v>
      </c>
      <c r="O104" s="19" t="s">
        <v>36</v>
      </c>
      <c r="P104" s="19" t="s">
        <v>79</v>
      </c>
      <c r="Q104" s="17" t="s">
        <v>38</v>
      </c>
      <c r="R104" s="22">
        <v>47453.0</v>
      </c>
      <c r="S104" s="22">
        <v>46301.0</v>
      </c>
      <c r="T104" s="19" t="s">
        <v>33</v>
      </c>
      <c r="U104" s="19" t="s">
        <v>33</v>
      </c>
      <c r="V104" s="19">
        <v>714.0</v>
      </c>
      <c r="W104" s="19">
        <v>842.0</v>
      </c>
      <c r="X104" s="19">
        <v>850.0</v>
      </c>
      <c r="Y104" s="19">
        <v>850.0</v>
      </c>
      <c r="Z104" s="10">
        <f t="shared" si="1"/>
        <v>-8</v>
      </c>
      <c r="AA104" s="15">
        <f t="shared" si="2"/>
        <v>0</v>
      </c>
      <c r="AB104" s="19" t="s">
        <v>39</v>
      </c>
      <c r="AC104" s="17" t="s">
        <v>625</v>
      </c>
    </row>
    <row r="105">
      <c r="A105" s="17">
        <v>103.0</v>
      </c>
      <c r="B105" s="51">
        <v>46266.0</v>
      </c>
      <c r="C105" s="17" t="s">
        <v>626</v>
      </c>
      <c r="D105" s="17" t="s">
        <v>627</v>
      </c>
      <c r="E105" s="19" t="s">
        <v>75</v>
      </c>
      <c r="F105" s="17" t="s">
        <v>76</v>
      </c>
      <c r="G105" s="17" t="s">
        <v>628</v>
      </c>
      <c r="H105" s="19">
        <v>9.427222508E9</v>
      </c>
      <c r="I105" s="19" t="s">
        <v>33</v>
      </c>
      <c r="J105" s="19" t="s">
        <v>33</v>
      </c>
      <c r="K105" s="19">
        <v>109.0</v>
      </c>
      <c r="L105" s="51">
        <v>46661.0</v>
      </c>
      <c r="M105" s="19" t="s">
        <v>78</v>
      </c>
      <c r="N105" s="21" t="s">
        <v>46</v>
      </c>
      <c r="O105" s="19" t="s">
        <v>66</v>
      </c>
      <c r="P105" s="19" t="s">
        <v>79</v>
      </c>
      <c r="Q105" s="17" t="s">
        <v>38</v>
      </c>
      <c r="R105" s="19" t="s">
        <v>629</v>
      </c>
      <c r="S105" s="19" t="s">
        <v>33</v>
      </c>
      <c r="T105" s="19" t="s">
        <v>33</v>
      </c>
      <c r="U105" s="19" t="s">
        <v>33</v>
      </c>
      <c r="V105" s="23">
        <v>714.0</v>
      </c>
      <c r="W105" s="23">
        <v>842.0</v>
      </c>
      <c r="X105" s="19">
        <v>850.0</v>
      </c>
      <c r="Y105" s="19">
        <v>850.0</v>
      </c>
      <c r="Z105" s="14">
        <f t="shared" si="1"/>
        <v>-8</v>
      </c>
      <c r="AA105" s="15">
        <f t="shared" si="2"/>
        <v>0</v>
      </c>
      <c r="AB105" s="19" t="s">
        <v>39</v>
      </c>
      <c r="AC105" s="17" t="s">
        <v>630</v>
      </c>
    </row>
    <row r="106">
      <c r="A106" s="17">
        <v>104.0</v>
      </c>
      <c r="B106" s="51">
        <v>46266.0</v>
      </c>
      <c r="C106" s="17" t="s">
        <v>631</v>
      </c>
      <c r="D106" s="17" t="s">
        <v>632</v>
      </c>
      <c r="E106" s="19" t="s">
        <v>88</v>
      </c>
      <c r="F106" s="17" t="s">
        <v>633</v>
      </c>
      <c r="G106" s="17" t="s">
        <v>634</v>
      </c>
      <c r="H106" s="19">
        <v>9.727631306E9</v>
      </c>
      <c r="I106" s="19">
        <v>9.574155135E9</v>
      </c>
      <c r="J106" s="19" t="s">
        <v>33</v>
      </c>
      <c r="K106" s="19">
        <v>35000.0</v>
      </c>
      <c r="L106" s="30">
        <v>46569.0</v>
      </c>
      <c r="M106" s="19" t="s">
        <v>152</v>
      </c>
      <c r="N106" s="21" t="s">
        <v>58</v>
      </c>
      <c r="O106" s="19" t="s">
        <v>198</v>
      </c>
      <c r="P106" s="19" t="s">
        <v>79</v>
      </c>
      <c r="Q106" s="17" t="s">
        <v>38</v>
      </c>
      <c r="R106" s="19" t="s">
        <v>635</v>
      </c>
      <c r="S106" s="22">
        <v>46205.0</v>
      </c>
      <c r="T106" s="22">
        <v>47699.0</v>
      </c>
      <c r="U106" s="19" t="s">
        <v>33</v>
      </c>
      <c r="V106" s="23">
        <v>45992.77</v>
      </c>
      <c r="W106" s="23">
        <v>48558.0</v>
      </c>
      <c r="X106" s="19">
        <v>39372.0</v>
      </c>
      <c r="Y106" s="19">
        <v>39372.0</v>
      </c>
      <c r="Z106" s="14">
        <f t="shared" si="1"/>
        <v>9186</v>
      </c>
      <c r="AA106" s="15">
        <f t="shared" si="2"/>
        <v>0</v>
      </c>
      <c r="AB106" s="19" t="s">
        <v>39</v>
      </c>
      <c r="AC106" s="17" t="s">
        <v>636</v>
      </c>
    </row>
    <row r="107">
      <c r="A107" s="17">
        <v>105.0</v>
      </c>
      <c r="B107" s="51">
        <v>46266.0</v>
      </c>
      <c r="C107" s="17" t="s">
        <v>637</v>
      </c>
      <c r="D107" s="17" t="s">
        <v>638</v>
      </c>
      <c r="E107" s="19" t="s">
        <v>88</v>
      </c>
      <c r="F107" s="17" t="s">
        <v>639</v>
      </c>
      <c r="G107" s="17" t="s">
        <v>640</v>
      </c>
      <c r="H107" s="19">
        <v>9.601101224E9</v>
      </c>
      <c r="I107" s="19" t="s">
        <v>33</v>
      </c>
      <c r="J107" s="19" t="s">
        <v>33</v>
      </c>
      <c r="K107" s="19">
        <v>25000.0</v>
      </c>
      <c r="L107" s="20">
        <v>46600.0</v>
      </c>
      <c r="M107" s="19" t="s">
        <v>152</v>
      </c>
      <c r="N107" s="21" t="s">
        <v>58</v>
      </c>
      <c r="O107" s="19" t="s">
        <v>198</v>
      </c>
      <c r="P107" s="19" t="s">
        <v>79</v>
      </c>
      <c r="Q107" s="17" t="s">
        <v>38</v>
      </c>
      <c r="R107" s="19" t="s">
        <v>544</v>
      </c>
      <c r="S107" s="19" t="s">
        <v>641</v>
      </c>
      <c r="T107" s="22">
        <v>47338.0</v>
      </c>
      <c r="U107" s="19" t="s">
        <v>33</v>
      </c>
      <c r="V107" s="23">
        <v>47073.45</v>
      </c>
      <c r="W107" s="23">
        <v>49833.0</v>
      </c>
      <c r="X107" s="19">
        <v>39723.0</v>
      </c>
      <c r="Y107" s="19">
        <v>40000.0</v>
      </c>
      <c r="Z107" s="14">
        <f t="shared" si="1"/>
        <v>9833</v>
      </c>
      <c r="AA107" s="15">
        <f t="shared" si="2"/>
        <v>277</v>
      </c>
      <c r="AB107" s="19" t="s">
        <v>39</v>
      </c>
      <c r="AC107" s="17" t="s">
        <v>642</v>
      </c>
    </row>
    <row r="108">
      <c r="A108" s="17">
        <v>106.0</v>
      </c>
      <c r="B108" s="51">
        <v>46266.0</v>
      </c>
      <c r="C108" s="17" t="s">
        <v>643</v>
      </c>
      <c r="D108" s="17" t="s">
        <v>644</v>
      </c>
      <c r="E108" s="19" t="s">
        <v>88</v>
      </c>
      <c r="F108" s="17" t="s">
        <v>645</v>
      </c>
      <c r="G108" s="17" t="s">
        <v>646</v>
      </c>
      <c r="H108" s="19">
        <v>9.638953093E9</v>
      </c>
      <c r="I108" s="19">
        <v>9.825383466E9</v>
      </c>
      <c r="J108" s="19" t="s">
        <v>33</v>
      </c>
      <c r="K108" s="19">
        <v>12990.0</v>
      </c>
      <c r="L108" s="20">
        <v>46600.0</v>
      </c>
      <c r="M108" s="19" t="s">
        <v>107</v>
      </c>
      <c r="N108" s="21" t="s">
        <v>58</v>
      </c>
      <c r="O108" s="19" t="s">
        <v>153</v>
      </c>
      <c r="P108" s="19" t="s">
        <v>60</v>
      </c>
      <c r="Q108" s="17" t="s">
        <v>38</v>
      </c>
      <c r="R108" s="22">
        <v>46636.0</v>
      </c>
      <c r="S108" s="22">
        <v>46240.0</v>
      </c>
      <c r="T108" s="22">
        <v>47209.0</v>
      </c>
      <c r="U108" s="19" t="s">
        <v>33</v>
      </c>
      <c r="V108" s="23">
        <v>37470.0</v>
      </c>
      <c r="W108" s="23">
        <v>39625.0</v>
      </c>
      <c r="X108" s="19">
        <v>35007.0</v>
      </c>
      <c r="Y108" s="24">
        <v>35500.0</v>
      </c>
      <c r="Z108" s="14">
        <f t="shared" si="1"/>
        <v>4125</v>
      </c>
      <c r="AA108" s="15">
        <f t="shared" si="2"/>
        <v>493</v>
      </c>
      <c r="AB108" s="19" t="s">
        <v>39</v>
      </c>
      <c r="AC108" s="17" t="s">
        <v>647</v>
      </c>
    </row>
    <row r="109">
      <c r="A109" s="26">
        <v>107.0</v>
      </c>
      <c r="B109" s="51">
        <v>46296.0</v>
      </c>
      <c r="C109" s="17" t="s">
        <v>648</v>
      </c>
      <c r="D109" s="17" t="s">
        <v>649</v>
      </c>
      <c r="E109" s="19" t="s">
        <v>52</v>
      </c>
      <c r="F109" s="17" t="s">
        <v>650</v>
      </c>
      <c r="G109" s="17" t="s">
        <v>651</v>
      </c>
      <c r="H109" s="19">
        <v>9.687527361E9</v>
      </c>
      <c r="I109" s="19">
        <v>9.016204815E9</v>
      </c>
      <c r="J109" s="19" t="s">
        <v>105</v>
      </c>
      <c r="K109" s="19">
        <v>2450.0</v>
      </c>
      <c r="L109" s="20">
        <v>46631.0</v>
      </c>
      <c r="M109" s="19" t="s">
        <v>652</v>
      </c>
      <c r="N109" s="21" t="s">
        <v>58</v>
      </c>
      <c r="O109" s="19" t="s">
        <v>66</v>
      </c>
      <c r="P109" s="19" t="s">
        <v>79</v>
      </c>
      <c r="Q109" s="17" t="s">
        <v>38</v>
      </c>
      <c r="R109" s="19" t="s">
        <v>653</v>
      </c>
      <c r="S109" s="22">
        <v>46208.0</v>
      </c>
      <c r="T109" s="19" t="s">
        <v>33</v>
      </c>
      <c r="U109" s="19" t="s">
        <v>33</v>
      </c>
      <c r="V109" s="23">
        <v>17087.0</v>
      </c>
      <c r="W109" s="23">
        <v>18076.0</v>
      </c>
      <c r="X109" s="19">
        <v>12148.0</v>
      </c>
      <c r="Y109" s="19">
        <v>11500.0</v>
      </c>
      <c r="Z109" s="14">
        <f t="shared" si="1"/>
        <v>6576</v>
      </c>
      <c r="AA109" s="15">
        <f t="shared" si="2"/>
        <v>-648</v>
      </c>
      <c r="AB109" s="19" t="s">
        <v>39</v>
      </c>
      <c r="AC109" s="17" t="s">
        <v>654</v>
      </c>
    </row>
    <row r="110">
      <c r="A110" s="17">
        <v>108.0</v>
      </c>
      <c r="B110" s="51">
        <v>46296.0</v>
      </c>
      <c r="C110" s="17" t="s">
        <v>655</v>
      </c>
      <c r="D110" s="17" t="s">
        <v>656</v>
      </c>
      <c r="E110" s="19" t="s">
        <v>88</v>
      </c>
      <c r="F110" s="17" t="s">
        <v>355</v>
      </c>
      <c r="G110" s="17" t="s">
        <v>657</v>
      </c>
      <c r="H110" s="19">
        <v>9.979374474E9</v>
      </c>
      <c r="I110" s="19">
        <v>9.067593333E9</v>
      </c>
      <c r="J110" s="19" t="s">
        <v>33</v>
      </c>
      <c r="K110" s="19">
        <v>28000.0</v>
      </c>
      <c r="L110" s="20">
        <v>46600.0</v>
      </c>
      <c r="M110" s="19" t="s">
        <v>57</v>
      </c>
      <c r="N110" s="21" t="s">
        <v>58</v>
      </c>
      <c r="O110" s="19" t="s">
        <v>161</v>
      </c>
      <c r="P110" s="19" t="s">
        <v>60</v>
      </c>
      <c r="Q110" s="17" t="s">
        <v>38</v>
      </c>
      <c r="R110" s="19" t="s">
        <v>658</v>
      </c>
      <c r="S110" s="19" t="s">
        <v>659</v>
      </c>
      <c r="T110" s="19" t="s">
        <v>366</v>
      </c>
      <c r="U110" s="19" t="s">
        <v>33</v>
      </c>
      <c r="V110" s="23">
        <v>46587.0</v>
      </c>
      <c r="W110" s="23">
        <v>49247.0</v>
      </c>
      <c r="X110" s="19">
        <v>39392.0</v>
      </c>
      <c r="Y110" s="19">
        <v>38000.0</v>
      </c>
      <c r="Z110" s="14">
        <f t="shared" si="1"/>
        <v>11247</v>
      </c>
      <c r="AA110" s="15">
        <f t="shared" si="2"/>
        <v>-1392</v>
      </c>
      <c r="AB110" s="19" t="s">
        <v>39</v>
      </c>
      <c r="AC110" s="17" t="s">
        <v>660</v>
      </c>
    </row>
    <row r="111">
      <c r="A111" s="17">
        <v>109.0</v>
      </c>
      <c r="B111" s="51">
        <v>46296.0</v>
      </c>
      <c r="C111" s="17" t="s">
        <v>661</v>
      </c>
      <c r="D111" s="17" t="s">
        <v>662</v>
      </c>
      <c r="E111" s="19" t="s">
        <v>88</v>
      </c>
      <c r="F111" s="17" t="s">
        <v>663</v>
      </c>
      <c r="G111" s="17" t="s">
        <v>664</v>
      </c>
      <c r="H111" s="19">
        <v>8.200030131E9</v>
      </c>
      <c r="I111" s="19">
        <v>9.71438405E9</v>
      </c>
      <c r="J111" s="19" t="s">
        <v>33</v>
      </c>
      <c r="K111" s="19">
        <v>28000.0</v>
      </c>
      <c r="L111" s="20">
        <v>46631.0</v>
      </c>
      <c r="M111" s="19" t="s">
        <v>45</v>
      </c>
      <c r="N111" s="21" t="s">
        <v>58</v>
      </c>
      <c r="O111" s="19" t="s">
        <v>66</v>
      </c>
      <c r="P111" s="52" t="s">
        <v>79</v>
      </c>
      <c r="Q111" s="17" t="s">
        <v>38</v>
      </c>
      <c r="R111" s="22">
        <v>46205.0</v>
      </c>
      <c r="S111" s="19" t="s">
        <v>665</v>
      </c>
      <c r="T111" s="22">
        <v>46212.0</v>
      </c>
      <c r="U111" s="19" t="s">
        <v>33</v>
      </c>
      <c r="V111" s="23">
        <v>45383.0</v>
      </c>
      <c r="W111" s="23">
        <v>47838.0</v>
      </c>
      <c r="X111" s="19">
        <v>42586.0</v>
      </c>
      <c r="Y111" s="19">
        <v>42000.0</v>
      </c>
      <c r="Z111" s="14">
        <f t="shared" si="1"/>
        <v>5838</v>
      </c>
      <c r="AA111" s="15">
        <f t="shared" si="2"/>
        <v>-586</v>
      </c>
      <c r="AB111" s="19" t="s">
        <v>39</v>
      </c>
      <c r="AC111" s="17" t="s">
        <v>666</v>
      </c>
    </row>
    <row r="112">
      <c r="A112" s="17">
        <v>110.0</v>
      </c>
      <c r="B112" s="51">
        <v>46296.0</v>
      </c>
      <c r="C112" s="17" t="s">
        <v>667</v>
      </c>
      <c r="D112" s="17" t="s">
        <v>668</v>
      </c>
      <c r="E112" s="19" t="s">
        <v>52</v>
      </c>
      <c r="F112" s="17" t="s">
        <v>388</v>
      </c>
      <c r="G112" s="17" t="s">
        <v>669</v>
      </c>
      <c r="H112" s="19">
        <v>7.87467179E9</v>
      </c>
      <c r="I112" s="19">
        <v>9.512008869E9</v>
      </c>
      <c r="J112" s="19" t="s">
        <v>33</v>
      </c>
      <c r="K112" s="19">
        <v>3490.0</v>
      </c>
      <c r="L112" s="20">
        <v>46600.0</v>
      </c>
      <c r="M112" s="19" t="s">
        <v>57</v>
      </c>
      <c r="N112" s="21" t="s">
        <v>58</v>
      </c>
      <c r="O112" s="19" t="s">
        <v>93</v>
      </c>
      <c r="P112" s="19" t="s">
        <v>60</v>
      </c>
      <c r="Q112" s="17" t="s">
        <v>38</v>
      </c>
      <c r="R112" s="19" t="s">
        <v>286</v>
      </c>
      <c r="S112" s="19" t="s">
        <v>670</v>
      </c>
      <c r="T112" s="22">
        <v>47820.0</v>
      </c>
      <c r="U112" s="19" t="s">
        <v>33</v>
      </c>
      <c r="V112" s="23">
        <v>22310.0</v>
      </c>
      <c r="W112" s="23">
        <v>24228.0</v>
      </c>
      <c r="X112" s="19">
        <v>15486.0</v>
      </c>
      <c r="Y112" s="19">
        <v>15500.0</v>
      </c>
      <c r="Z112" s="14">
        <f t="shared" si="1"/>
        <v>8728</v>
      </c>
      <c r="AA112" s="15">
        <f t="shared" si="2"/>
        <v>14</v>
      </c>
      <c r="AB112" s="19" t="s">
        <v>39</v>
      </c>
      <c r="AC112" s="17" t="s">
        <v>671</v>
      </c>
    </row>
    <row r="113">
      <c r="A113" s="17">
        <v>111.0</v>
      </c>
      <c r="B113" s="51">
        <v>46296.0</v>
      </c>
      <c r="C113" s="17" t="s">
        <v>672</v>
      </c>
      <c r="D113" s="17" t="s">
        <v>673</v>
      </c>
      <c r="E113" s="19" t="s">
        <v>75</v>
      </c>
      <c r="F113" s="17" t="s">
        <v>674</v>
      </c>
      <c r="G113" s="17" t="s">
        <v>675</v>
      </c>
      <c r="H113" s="19">
        <v>7.228934347E9</v>
      </c>
      <c r="I113" s="19" t="s">
        <v>33</v>
      </c>
      <c r="J113" s="19" t="s">
        <v>33</v>
      </c>
      <c r="K113" s="19">
        <v>97.0</v>
      </c>
      <c r="L113" s="20">
        <v>46631.0</v>
      </c>
      <c r="M113" s="19" t="s">
        <v>574</v>
      </c>
      <c r="N113" s="21" t="s">
        <v>46</v>
      </c>
      <c r="O113" s="19" t="s">
        <v>36</v>
      </c>
      <c r="P113" s="19" t="s">
        <v>79</v>
      </c>
      <c r="Q113" s="17" t="s">
        <v>38</v>
      </c>
      <c r="R113" s="22">
        <v>46609.0</v>
      </c>
      <c r="S113" s="22">
        <v>46268.0</v>
      </c>
      <c r="T113" s="19" t="s">
        <v>33</v>
      </c>
      <c r="U113" s="19" t="s">
        <v>33</v>
      </c>
      <c r="V113" s="23">
        <v>714.0</v>
      </c>
      <c r="W113" s="23">
        <v>842.52</v>
      </c>
      <c r="X113" s="19">
        <v>850.0</v>
      </c>
      <c r="Y113" s="19">
        <v>850.0</v>
      </c>
      <c r="Z113" s="14">
        <f t="shared" si="1"/>
        <v>-7.48</v>
      </c>
      <c r="AA113" s="15">
        <f t="shared" si="2"/>
        <v>0</v>
      </c>
      <c r="AB113" s="19" t="s">
        <v>39</v>
      </c>
      <c r="AC113" s="17" t="s">
        <v>676</v>
      </c>
    </row>
    <row r="114">
      <c r="A114" s="17">
        <v>112.0</v>
      </c>
      <c r="B114" s="51">
        <v>46296.0</v>
      </c>
      <c r="C114" s="17" t="s">
        <v>677</v>
      </c>
      <c r="D114" s="17" t="s">
        <v>678</v>
      </c>
      <c r="E114" s="19" t="s">
        <v>75</v>
      </c>
      <c r="F114" s="17" t="s">
        <v>679</v>
      </c>
      <c r="G114" s="17" t="s">
        <v>680</v>
      </c>
      <c r="H114" s="19">
        <v>7.228934347E9</v>
      </c>
      <c r="I114" s="19" t="s">
        <v>33</v>
      </c>
      <c r="J114" s="19" t="s">
        <v>681</v>
      </c>
      <c r="K114" s="19">
        <v>109.0</v>
      </c>
      <c r="L114" s="20">
        <v>46631.0</v>
      </c>
      <c r="M114" s="19" t="s">
        <v>574</v>
      </c>
      <c r="N114" s="21" t="s">
        <v>46</v>
      </c>
      <c r="O114" s="19" t="s">
        <v>36</v>
      </c>
      <c r="P114" s="19" t="s">
        <v>79</v>
      </c>
      <c r="Q114" s="17" t="s">
        <v>38</v>
      </c>
      <c r="R114" s="22">
        <v>47160.0</v>
      </c>
      <c r="S114" s="22">
        <v>46241.0</v>
      </c>
      <c r="T114" s="19" t="s">
        <v>33</v>
      </c>
      <c r="U114" s="19" t="s">
        <v>33</v>
      </c>
      <c r="V114" s="23">
        <v>714.0</v>
      </c>
      <c r="W114" s="23">
        <v>842.52</v>
      </c>
      <c r="X114" s="19">
        <v>850.0</v>
      </c>
      <c r="Y114" s="19">
        <v>850.0</v>
      </c>
      <c r="Z114" s="14">
        <f t="shared" si="1"/>
        <v>-7.48</v>
      </c>
      <c r="AA114" s="15">
        <f t="shared" si="2"/>
        <v>0</v>
      </c>
      <c r="AB114" s="19" t="s">
        <v>39</v>
      </c>
      <c r="AC114" s="17" t="s">
        <v>682</v>
      </c>
    </row>
    <row r="115">
      <c r="A115" s="17">
        <v>113.0</v>
      </c>
      <c r="B115" s="51">
        <v>46296.0</v>
      </c>
      <c r="C115" s="17" t="s">
        <v>683</v>
      </c>
      <c r="D115" s="17" t="s">
        <v>684</v>
      </c>
      <c r="E115" s="19" t="s">
        <v>75</v>
      </c>
      <c r="F115" s="17" t="s">
        <v>685</v>
      </c>
      <c r="G115" s="17" t="s">
        <v>686</v>
      </c>
      <c r="H115" s="19">
        <v>7.35959195E9</v>
      </c>
      <c r="I115" s="19" t="s">
        <v>33</v>
      </c>
      <c r="J115" s="19" t="s">
        <v>33</v>
      </c>
      <c r="K115" s="19">
        <v>100.0</v>
      </c>
      <c r="L115" s="51">
        <v>46661.0</v>
      </c>
      <c r="M115" s="19" t="s">
        <v>78</v>
      </c>
      <c r="N115" s="21" t="s">
        <v>46</v>
      </c>
      <c r="O115" s="19" t="s">
        <v>36</v>
      </c>
      <c r="P115" s="19" t="s">
        <v>79</v>
      </c>
      <c r="Q115" s="17" t="s">
        <v>38</v>
      </c>
      <c r="R115" s="25">
        <v>47974.0</v>
      </c>
      <c r="S115" s="22">
        <v>46241.0</v>
      </c>
      <c r="T115" s="19" t="s">
        <v>33</v>
      </c>
      <c r="U115" s="19" t="s">
        <v>33</v>
      </c>
      <c r="V115" s="23">
        <v>714.0</v>
      </c>
      <c r="W115" s="23">
        <v>842.0</v>
      </c>
      <c r="X115" s="19">
        <v>850.0</v>
      </c>
      <c r="Y115" s="19">
        <v>850.0</v>
      </c>
      <c r="Z115" s="14">
        <f t="shared" si="1"/>
        <v>-8</v>
      </c>
      <c r="AA115" s="15">
        <f t="shared" si="2"/>
        <v>0</v>
      </c>
      <c r="AB115" s="19" t="s">
        <v>39</v>
      </c>
      <c r="AC115" s="17" t="s">
        <v>687</v>
      </c>
    </row>
    <row r="116">
      <c r="A116" s="17">
        <v>114.0</v>
      </c>
      <c r="B116" s="51">
        <v>46296.0</v>
      </c>
      <c r="C116" s="17" t="s">
        <v>688</v>
      </c>
      <c r="D116" s="17" t="s">
        <v>689</v>
      </c>
      <c r="E116" s="19" t="s">
        <v>30</v>
      </c>
      <c r="F116" s="17" t="s">
        <v>690</v>
      </c>
      <c r="G116" s="17" t="s">
        <v>691</v>
      </c>
      <c r="H116" s="19">
        <v>7.874949645E9</v>
      </c>
      <c r="I116" s="19" t="s">
        <v>33</v>
      </c>
      <c r="J116" s="19" t="s">
        <v>33</v>
      </c>
      <c r="K116" s="19">
        <v>1462.0</v>
      </c>
      <c r="L116" s="20">
        <v>46600.0</v>
      </c>
      <c r="M116" s="19" t="s">
        <v>619</v>
      </c>
      <c r="N116" s="21" t="s">
        <v>35</v>
      </c>
      <c r="O116" s="19" t="s">
        <v>36</v>
      </c>
      <c r="P116" s="19" t="s">
        <v>37</v>
      </c>
      <c r="Q116" s="17" t="s">
        <v>38</v>
      </c>
      <c r="R116" s="22">
        <v>51136.0</v>
      </c>
      <c r="S116" s="19" t="s">
        <v>692</v>
      </c>
      <c r="T116" s="19" t="s">
        <v>33</v>
      </c>
      <c r="U116" s="19" t="s">
        <v>33</v>
      </c>
      <c r="V116" s="17">
        <v>11560.0</v>
      </c>
      <c r="W116" s="17">
        <v>13777.0</v>
      </c>
      <c r="X116" s="19">
        <v>13777.0</v>
      </c>
      <c r="Y116" s="19">
        <v>13700.0</v>
      </c>
      <c r="Z116" s="10">
        <f t="shared" si="1"/>
        <v>77</v>
      </c>
      <c r="AA116" s="15">
        <f t="shared" si="2"/>
        <v>-77</v>
      </c>
      <c r="AB116" s="19" t="s">
        <v>39</v>
      </c>
      <c r="AC116" s="17" t="s">
        <v>693</v>
      </c>
    </row>
    <row r="117">
      <c r="A117" s="17">
        <v>115.0</v>
      </c>
      <c r="B117" s="51">
        <v>46296.0</v>
      </c>
      <c r="C117" s="17" t="s">
        <v>694</v>
      </c>
      <c r="D117" s="17" t="s">
        <v>695</v>
      </c>
      <c r="E117" s="19" t="s">
        <v>88</v>
      </c>
      <c r="F117" s="17" t="s">
        <v>486</v>
      </c>
      <c r="G117" s="17" t="s">
        <v>696</v>
      </c>
      <c r="H117" s="19">
        <v>9.574991612E9</v>
      </c>
      <c r="I117" s="19" t="s">
        <v>33</v>
      </c>
      <c r="J117" s="19" t="s">
        <v>33</v>
      </c>
      <c r="K117" s="19">
        <v>12990.0</v>
      </c>
      <c r="L117" s="20">
        <v>46600.0</v>
      </c>
      <c r="M117" s="19" t="s">
        <v>152</v>
      </c>
      <c r="N117" s="21" t="s">
        <v>58</v>
      </c>
      <c r="O117" s="19" t="s">
        <v>36</v>
      </c>
      <c r="P117" s="19" t="s">
        <v>79</v>
      </c>
      <c r="Q117" s="17" t="s">
        <v>38</v>
      </c>
      <c r="R117" s="22">
        <v>46089.0</v>
      </c>
      <c r="S117" s="22">
        <v>46028.0</v>
      </c>
      <c r="T117" s="22">
        <v>47707.0</v>
      </c>
      <c r="U117" s="19" t="s">
        <v>33</v>
      </c>
      <c r="V117" s="23">
        <v>36666.19</v>
      </c>
      <c r="W117" s="23">
        <v>38675.0</v>
      </c>
      <c r="X117" s="19">
        <v>33957.0</v>
      </c>
      <c r="Y117" s="19">
        <v>34000.0</v>
      </c>
      <c r="Z117" s="14">
        <f t="shared" si="1"/>
        <v>4675</v>
      </c>
      <c r="AA117" s="15">
        <f t="shared" si="2"/>
        <v>43</v>
      </c>
      <c r="AB117" s="19" t="s">
        <v>39</v>
      </c>
      <c r="AC117" s="17" t="s">
        <v>697</v>
      </c>
    </row>
    <row r="118">
      <c r="A118" s="35">
        <v>116.0</v>
      </c>
      <c r="B118" s="53">
        <v>46327.0</v>
      </c>
      <c r="C118" s="35" t="s">
        <v>698</v>
      </c>
      <c r="D118" s="35" t="s">
        <v>699</v>
      </c>
      <c r="E118" s="37" t="s">
        <v>30</v>
      </c>
      <c r="F118" s="35" t="s">
        <v>700</v>
      </c>
      <c r="G118" s="35" t="s">
        <v>701</v>
      </c>
      <c r="H118" s="37" t="s">
        <v>542</v>
      </c>
      <c r="I118" s="37" t="s">
        <v>33</v>
      </c>
      <c r="J118" s="37" t="s">
        <v>33</v>
      </c>
      <c r="K118" s="37">
        <v>1498.0</v>
      </c>
      <c r="L118" s="53">
        <v>46722.0</v>
      </c>
      <c r="M118" s="37" t="s">
        <v>574</v>
      </c>
      <c r="N118" s="39" t="s">
        <v>35</v>
      </c>
      <c r="O118" s="37" t="s">
        <v>36</v>
      </c>
      <c r="P118" s="37" t="s">
        <v>37</v>
      </c>
      <c r="Q118" s="54" t="s">
        <v>38</v>
      </c>
      <c r="R118" s="37" t="s">
        <v>702</v>
      </c>
      <c r="S118" s="37" t="s">
        <v>294</v>
      </c>
      <c r="T118" s="37" t="s">
        <v>33</v>
      </c>
      <c r="U118" s="37" t="s">
        <v>33</v>
      </c>
      <c r="V118" s="41">
        <v>20157.42</v>
      </c>
      <c r="W118" s="37">
        <v>23785.76</v>
      </c>
      <c r="X118" s="37">
        <v>24175.0</v>
      </c>
      <c r="Y118" s="37">
        <v>22175.0</v>
      </c>
      <c r="Z118" s="44">
        <f t="shared" si="1"/>
        <v>1610.76</v>
      </c>
      <c r="AA118" s="15">
        <f t="shared" si="2"/>
        <v>-2000</v>
      </c>
      <c r="AB118" s="37" t="s">
        <v>39</v>
      </c>
      <c r="AC118" s="35" t="s">
        <v>703</v>
      </c>
    </row>
    <row r="119">
      <c r="A119" s="17">
        <v>117.0</v>
      </c>
      <c r="B119" s="51">
        <v>46327.0</v>
      </c>
      <c r="C119" s="17" t="s">
        <v>704</v>
      </c>
      <c r="D119" s="17" t="s">
        <v>705</v>
      </c>
      <c r="E119" s="19" t="s">
        <v>75</v>
      </c>
      <c r="F119" s="17" t="s">
        <v>706</v>
      </c>
      <c r="G119" s="17" t="s">
        <v>707</v>
      </c>
      <c r="H119" s="19">
        <v>9.9130222E9</v>
      </c>
      <c r="I119" s="19" t="s">
        <v>33</v>
      </c>
      <c r="J119" s="19" t="s">
        <v>33</v>
      </c>
      <c r="K119" s="19">
        <v>97.0</v>
      </c>
      <c r="L119" s="19" t="s">
        <v>708</v>
      </c>
      <c r="M119" s="19" t="s">
        <v>619</v>
      </c>
      <c r="N119" s="21" t="s">
        <v>46</v>
      </c>
      <c r="O119" s="19" t="s">
        <v>66</v>
      </c>
      <c r="P119" s="19" t="s">
        <v>79</v>
      </c>
      <c r="Q119" s="18" t="s">
        <v>38</v>
      </c>
      <c r="R119" s="19" t="s">
        <v>709</v>
      </c>
      <c r="S119" s="19" t="s">
        <v>465</v>
      </c>
      <c r="T119" s="19" t="s">
        <v>33</v>
      </c>
      <c r="U119" s="19" t="s">
        <v>33</v>
      </c>
      <c r="V119" s="19">
        <v>714.0</v>
      </c>
      <c r="W119" s="19">
        <v>842.0</v>
      </c>
      <c r="X119" s="19">
        <v>850.0</v>
      </c>
      <c r="Y119" s="19">
        <v>850.0</v>
      </c>
      <c r="Z119" s="10">
        <f t="shared" si="1"/>
        <v>-8</v>
      </c>
      <c r="AA119" s="15">
        <f t="shared" si="2"/>
        <v>0</v>
      </c>
      <c r="AB119" s="19" t="s">
        <v>39</v>
      </c>
      <c r="AC119" s="17" t="s">
        <v>710</v>
      </c>
    </row>
    <row r="120">
      <c r="A120" s="17">
        <v>118.0</v>
      </c>
      <c r="B120" s="51">
        <v>46327.0</v>
      </c>
      <c r="C120" s="17" t="s">
        <v>711</v>
      </c>
      <c r="D120" s="17" t="s">
        <v>712</v>
      </c>
      <c r="E120" s="19" t="s">
        <v>102</v>
      </c>
      <c r="F120" s="17" t="s">
        <v>111</v>
      </c>
      <c r="G120" s="17" t="s">
        <v>713</v>
      </c>
      <c r="H120" s="19">
        <v>9.638461983E9</v>
      </c>
      <c r="I120" s="19">
        <v>9.725864111E9</v>
      </c>
      <c r="J120" s="19" t="s">
        <v>714</v>
      </c>
      <c r="K120" s="19">
        <v>818.0</v>
      </c>
      <c r="L120" s="51">
        <v>46631.0</v>
      </c>
      <c r="M120" s="19" t="s">
        <v>107</v>
      </c>
      <c r="N120" s="21" t="s">
        <v>58</v>
      </c>
      <c r="O120" s="19" t="s">
        <v>36</v>
      </c>
      <c r="P120" s="19" t="s">
        <v>60</v>
      </c>
      <c r="Q120" s="18" t="s">
        <v>38</v>
      </c>
      <c r="R120" s="25">
        <v>46335.0</v>
      </c>
      <c r="S120" s="22">
        <v>46144.0</v>
      </c>
      <c r="T120" s="22">
        <v>46730.0</v>
      </c>
      <c r="U120" s="19" t="s">
        <v>33</v>
      </c>
      <c r="V120" s="23">
        <v>6359.0</v>
      </c>
      <c r="W120" s="23">
        <v>7504.0</v>
      </c>
      <c r="X120" s="19">
        <v>6500.0</v>
      </c>
      <c r="Y120" s="19">
        <v>6000.0</v>
      </c>
      <c r="Z120" s="14">
        <f t="shared" si="1"/>
        <v>1504</v>
      </c>
      <c r="AA120" s="15">
        <f t="shared" si="2"/>
        <v>-500</v>
      </c>
      <c r="AB120" s="19" t="s">
        <v>39</v>
      </c>
      <c r="AC120" s="17" t="s">
        <v>715</v>
      </c>
    </row>
    <row r="121">
      <c r="A121" s="17">
        <v>119.0</v>
      </c>
      <c r="B121" s="51">
        <v>46327.0</v>
      </c>
      <c r="C121" s="17" t="s">
        <v>716</v>
      </c>
      <c r="D121" s="17" t="s">
        <v>717</v>
      </c>
      <c r="E121" s="19" t="s">
        <v>102</v>
      </c>
      <c r="F121" s="17" t="s">
        <v>111</v>
      </c>
      <c r="G121" s="17" t="s">
        <v>718</v>
      </c>
      <c r="H121" s="19">
        <v>6.354150046E9</v>
      </c>
      <c r="I121" s="19">
        <v>7.600850021E9</v>
      </c>
      <c r="J121" s="19" t="s">
        <v>105</v>
      </c>
      <c r="K121" s="19">
        <v>818.0</v>
      </c>
      <c r="L121" s="51">
        <v>46631.0</v>
      </c>
      <c r="M121" s="19" t="s">
        <v>107</v>
      </c>
      <c r="N121" s="21" t="s">
        <v>58</v>
      </c>
      <c r="O121" s="19" t="s">
        <v>66</v>
      </c>
      <c r="P121" s="19" t="s">
        <v>60</v>
      </c>
      <c r="Q121" s="18" t="s">
        <v>38</v>
      </c>
      <c r="R121" s="25">
        <v>46266.0</v>
      </c>
      <c r="S121" s="22">
        <v>46183.0</v>
      </c>
      <c r="T121" s="19" t="s">
        <v>719</v>
      </c>
      <c r="U121" s="19" t="s">
        <v>33</v>
      </c>
      <c r="V121" s="23">
        <v>6360.0</v>
      </c>
      <c r="W121" s="23">
        <v>7505.0</v>
      </c>
      <c r="X121" s="19">
        <v>6500.0</v>
      </c>
      <c r="Y121" s="19">
        <v>6500.0</v>
      </c>
      <c r="Z121" s="14">
        <f t="shared" si="1"/>
        <v>1005</v>
      </c>
      <c r="AA121" s="15">
        <f t="shared" si="2"/>
        <v>0</v>
      </c>
      <c r="AB121" s="19" t="s">
        <v>39</v>
      </c>
      <c r="AC121" s="17" t="s">
        <v>720</v>
      </c>
    </row>
    <row r="122">
      <c r="A122" s="17">
        <v>120.0</v>
      </c>
      <c r="B122" s="51">
        <v>46327.0</v>
      </c>
      <c r="C122" s="17" t="s">
        <v>721</v>
      </c>
      <c r="D122" s="17" t="s">
        <v>722</v>
      </c>
      <c r="E122" s="19" t="s">
        <v>102</v>
      </c>
      <c r="F122" s="17" t="s">
        <v>111</v>
      </c>
      <c r="G122" s="17" t="s">
        <v>723</v>
      </c>
      <c r="H122" s="19">
        <v>9.558805143E9</v>
      </c>
      <c r="I122" s="19">
        <v>7.600244645E9</v>
      </c>
      <c r="J122" s="19" t="s">
        <v>105</v>
      </c>
      <c r="K122" s="19">
        <v>818.0</v>
      </c>
      <c r="L122" s="51">
        <v>46631.0</v>
      </c>
      <c r="M122" s="19" t="s">
        <v>107</v>
      </c>
      <c r="N122" s="21" t="s">
        <v>58</v>
      </c>
      <c r="O122" s="19" t="s">
        <v>161</v>
      </c>
      <c r="P122" s="19" t="s">
        <v>60</v>
      </c>
      <c r="Q122" s="18" t="s">
        <v>38</v>
      </c>
      <c r="R122" s="22">
        <v>46054.0</v>
      </c>
      <c r="S122" s="22">
        <v>45689.0</v>
      </c>
      <c r="T122" s="22">
        <v>47423.0</v>
      </c>
      <c r="U122" s="19" t="s">
        <v>33</v>
      </c>
      <c r="V122" s="23">
        <v>6344.0</v>
      </c>
      <c r="W122" s="23">
        <v>7486.0</v>
      </c>
      <c r="X122" s="19">
        <v>6500.0</v>
      </c>
      <c r="Y122" s="19">
        <v>6500.0</v>
      </c>
      <c r="Z122" s="14">
        <f t="shared" si="1"/>
        <v>986</v>
      </c>
      <c r="AA122" s="15">
        <f t="shared" si="2"/>
        <v>0</v>
      </c>
      <c r="AB122" s="19" t="s">
        <v>39</v>
      </c>
      <c r="AC122" s="17" t="s">
        <v>724</v>
      </c>
    </row>
    <row r="123">
      <c r="A123" s="17">
        <v>121.0</v>
      </c>
      <c r="B123" s="51">
        <v>46327.0</v>
      </c>
      <c r="C123" s="17" t="s">
        <v>725</v>
      </c>
      <c r="D123" s="17" t="s">
        <v>726</v>
      </c>
      <c r="E123" s="19" t="s">
        <v>102</v>
      </c>
      <c r="F123" s="17" t="s">
        <v>111</v>
      </c>
      <c r="G123" s="17" t="s">
        <v>727</v>
      </c>
      <c r="H123" s="19">
        <v>9.898333439E9</v>
      </c>
      <c r="I123" s="19">
        <v>9.979934334E9</v>
      </c>
      <c r="J123" s="19" t="s">
        <v>33</v>
      </c>
      <c r="K123" s="19">
        <v>818.0</v>
      </c>
      <c r="L123" s="51">
        <v>46631.0</v>
      </c>
      <c r="M123" s="19" t="s">
        <v>107</v>
      </c>
      <c r="N123" s="21" t="s">
        <v>58</v>
      </c>
      <c r="O123" s="19" t="s">
        <v>136</v>
      </c>
      <c r="P123" s="19" t="s">
        <v>60</v>
      </c>
      <c r="Q123" s="18" t="s">
        <v>38</v>
      </c>
      <c r="R123" s="25">
        <v>45662.0</v>
      </c>
      <c r="S123" s="19" t="s">
        <v>728</v>
      </c>
      <c r="T123" s="22">
        <v>47031.0</v>
      </c>
      <c r="U123" s="19" t="s">
        <v>33</v>
      </c>
      <c r="V123" s="23">
        <v>6559.0</v>
      </c>
      <c r="W123" s="23">
        <v>7740.0</v>
      </c>
      <c r="X123" s="19">
        <v>6500.0</v>
      </c>
      <c r="Y123" s="19">
        <v>6500.0</v>
      </c>
      <c r="Z123" s="14">
        <f t="shared" si="1"/>
        <v>1240</v>
      </c>
      <c r="AA123" s="15">
        <f t="shared" si="2"/>
        <v>0</v>
      </c>
      <c r="AB123" s="19" t="s">
        <v>39</v>
      </c>
      <c r="AC123" s="17" t="s">
        <v>729</v>
      </c>
    </row>
    <row r="124">
      <c r="A124" s="17">
        <v>122.0</v>
      </c>
      <c r="B124" s="51">
        <v>46327.0</v>
      </c>
      <c r="C124" s="17" t="s">
        <v>730</v>
      </c>
      <c r="D124" s="17" t="s">
        <v>731</v>
      </c>
      <c r="E124" s="19" t="s">
        <v>52</v>
      </c>
      <c r="F124" s="17" t="s">
        <v>732</v>
      </c>
      <c r="G124" s="17" t="s">
        <v>733</v>
      </c>
      <c r="H124" s="19">
        <v>9.924025507E9</v>
      </c>
      <c r="I124" s="19">
        <v>9.17318398E9</v>
      </c>
      <c r="J124" s="19" t="s">
        <v>105</v>
      </c>
      <c r="K124" s="19">
        <v>2670.0</v>
      </c>
      <c r="L124" s="51">
        <v>46692.0</v>
      </c>
      <c r="M124" s="19" t="s">
        <v>107</v>
      </c>
      <c r="N124" s="21" t="s">
        <v>58</v>
      </c>
      <c r="O124" s="19" t="s">
        <v>161</v>
      </c>
      <c r="P124" s="19" t="s">
        <v>60</v>
      </c>
      <c r="Q124" s="18" t="s">
        <v>38</v>
      </c>
      <c r="R124" s="25">
        <v>47058.0</v>
      </c>
      <c r="S124" s="22">
        <v>46388.0</v>
      </c>
      <c r="T124" s="19" t="s">
        <v>33</v>
      </c>
      <c r="U124" s="19" t="s">
        <v>33</v>
      </c>
      <c r="V124" s="19">
        <v>17465.0</v>
      </c>
      <c r="W124" s="19">
        <v>18522.0</v>
      </c>
      <c r="X124" s="19">
        <v>12893.0</v>
      </c>
      <c r="Y124" s="19">
        <v>12500.0</v>
      </c>
      <c r="Z124" s="10">
        <f t="shared" si="1"/>
        <v>6022</v>
      </c>
      <c r="AA124" s="15">
        <f t="shared" si="2"/>
        <v>-393</v>
      </c>
      <c r="AB124" s="19" t="s">
        <v>39</v>
      </c>
      <c r="AC124" s="17" t="s">
        <v>734</v>
      </c>
    </row>
    <row r="125">
      <c r="A125" s="17">
        <v>123.0</v>
      </c>
      <c r="B125" s="51">
        <v>46327.0</v>
      </c>
      <c r="C125" s="17" t="s">
        <v>735</v>
      </c>
      <c r="D125" s="17" t="s">
        <v>736</v>
      </c>
      <c r="E125" s="19" t="s">
        <v>30</v>
      </c>
      <c r="F125" s="17" t="s">
        <v>737</v>
      </c>
      <c r="G125" s="17" t="s">
        <v>738</v>
      </c>
      <c r="H125" s="19">
        <v>9.879073816E9</v>
      </c>
      <c r="I125" s="19" t="s">
        <v>33</v>
      </c>
      <c r="J125" s="19" t="s">
        <v>33</v>
      </c>
      <c r="K125" s="19">
        <v>1086.0</v>
      </c>
      <c r="L125" s="51">
        <v>46692.0</v>
      </c>
      <c r="M125" s="19" t="s">
        <v>78</v>
      </c>
      <c r="N125" s="21" t="s">
        <v>46</v>
      </c>
      <c r="O125" s="19" t="s">
        <v>153</v>
      </c>
      <c r="P125" s="19" t="s">
        <v>37</v>
      </c>
      <c r="Q125" s="18" t="s">
        <v>38</v>
      </c>
      <c r="R125" s="19" t="s">
        <v>739</v>
      </c>
      <c r="S125" s="19" t="s">
        <v>740</v>
      </c>
      <c r="T125" s="19" t="s">
        <v>33</v>
      </c>
      <c r="U125" s="19" t="s">
        <v>33</v>
      </c>
      <c r="V125" s="23">
        <v>3476.0</v>
      </c>
      <c r="W125" s="23">
        <v>4102.0</v>
      </c>
      <c r="X125" s="19">
        <v>4000.0</v>
      </c>
      <c r="Y125" s="19">
        <v>4000.0</v>
      </c>
      <c r="Z125" s="14">
        <f t="shared" si="1"/>
        <v>102</v>
      </c>
      <c r="AA125" s="15">
        <f t="shared" si="2"/>
        <v>0</v>
      </c>
      <c r="AB125" s="19" t="s">
        <v>39</v>
      </c>
      <c r="AC125" s="17" t="s">
        <v>741</v>
      </c>
    </row>
    <row r="126">
      <c r="A126" s="17">
        <v>124.0</v>
      </c>
      <c r="B126" s="51">
        <v>46327.0</v>
      </c>
      <c r="C126" s="17" t="s">
        <v>742</v>
      </c>
      <c r="D126" s="17" t="s">
        <v>743</v>
      </c>
      <c r="E126" s="19" t="s">
        <v>30</v>
      </c>
      <c r="F126" s="17" t="s">
        <v>737</v>
      </c>
      <c r="G126" s="17" t="s">
        <v>744</v>
      </c>
      <c r="H126" s="19">
        <v>9.97842381E9</v>
      </c>
      <c r="I126" s="19" t="s">
        <v>33</v>
      </c>
      <c r="J126" s="19" t="s">
        <v>33</v>
      </c>
      <c r="K126" s="19">
        <v>1086.0</v>
      </c>
      <c r="L126" s="51">
        <v>46692.0</v>
      </c>
      <c r="M126" s="19" t="s">
        <v>78</v>
      </c>
      <c r="N126" s="21" t="s">
        <v>46</v>
      </c>
      <c r="O126" s="19" t="s">
        <v>66</v>
      </c>
      <c r="P126" s="19" t="s">
        <v>37</v>
      </c>
      <c r="Q126" s="18" t="s">
        <v>38</v>
      </c>
      <c r="R126" s="19" t="s">
        <v>745</v>
      </c>
      <c r="S126" s="19" t="s">
        <v>544</v>
      </c>
      <c r="T126" s="19" t="s">
        <v>33</v>
      </c>
      <c r="U126" s="19" t="s">
        <v>33</v>
      </c>
      <c r="V126" s="23">
        <v>3476.0</v>
      </c>
      <c r="W126" s="23">
        <v>4102.0</v>
      </c>
      <c r="X126" s="19">
        <v>4000.0</v>
      </c>
      <c r="Y126" s="19">
        <v>3700.0</v>
      </c>
      <c r="Z126" s="14">
        <f t="shared" si="1"/>
        <v>402</v>
      </c>
      <c r="AA126" s="15">
        <f t="shared" si="2"/>
        <v>-300</v>
      </c>
      <c r="AB126" s="19" t="s">
        <v>39</v>
      </c>
      <c r="AC126" s="17" t="s">
        <v>746</v>
      </c>
    </row>
    <row r="127">
      <c r="A127" s="17">
        <v>125.0</v>
      </c>
      <c r="B127" s="51">
        <v>46327.0</v>
      </c>
      <c r="C127" s="17" t="s">
        <v>747</v>
      </c>
      <c r="D127" s="17" t="s">
        <v>748</v>
      </c>
      <c r="E127" s="19" t="s">
        <v>30</v>
      </c>
      <c r="F127" s="17" t="s">
        <v>463</v>
      </c>
      <c r="G127" s="17" t="s">
        <v>749</v>
      </c>
      <c r="H127" s="19">
        <v>9.722223071E9</v>
      </c>
      <c r="I127" s="19">
        <v>8.320061495E9</v>
      </c>
      <c r="J127" s="19" t="s">
        <v>33</v>
      </c>
      <c r="K127" s="19">
        <v>1120.0</v>
      </c>
      <c r="L127" s="51">
        <v>46692.0</v>
      </c>
      <c r="M127" s="19" t="s">
        <v>57</v>
      </c>
      <c r="N127" s="21" t="s">
        <v>46</v>
      </c>
      <c r="O127" s="19" t="s">
        <v>59</v>
      </c>
      <c r="P127" s="19" t="s">
        <v>37</v>
      </c>
      <c r="Q127" s="18" t="s">
        <v>38</v>
      </c>
      <c r="R127" s="19" t="s">
        <v>750</v>
      </c>
      <c r="S127" s="19" t="s">
        <v>751</v>
      </c>
      <c r="T127" s="19" t="s">
        <v>33</v>
      </c>
      <c r="U127" s="19" t="s">
        <v>33</v>
      </c>
      <c r="V127" s="23">
        <v>3416.0</v>
      </c>
      <c r="W127" s="23">
        <v>4031.0</v>
      </c>
      <c r="X127" s="19">
        <v>4000.0</v>
      </c>
      <c r="Y127" s="19">
        <v>4000.0</v>
      </c>
      <c r="Z127" s="14">
        <f t="shared" si="1"/>
        <v>31</v>
      </c>
      <c r="AA127" s="15">
        <f t="shared" si="2"/>
        <v>0</v>
      </c>
      <c r="AB127" s="19" t="s">
        <v>39</v>
      </c>
      <c r="AC127" s="17" t="s">
        <v>752</v>
      </c>
    </row>
    <row r="128">
      <c r="A128" s="17">
        <v>126.0</v>
      </c>
      <c r="B128" s="51">
        <v>46327.0</v>
      </c>
      <c r="C128" s="17" t="s">
        <v>753</v>
      </c>
      <c r="D128" s="17" t="s">
        <v>754</v>
      </c>
      <c r="E128" s="19" t="s">
        <v>234</v>
      </c>
      <c r="F128" s="17" t="s">
        <v>755</v>
      </c>
      <c r="G128" s="17" t="s">
        <v>756</v>
      </c>
      <c r="H128" s="19">
        <v>9.913993588E9</v>
      </c>
      <c r="I128" s="19">
        <v>9.925931271E9</v>
      </c>
      <c r="J128" s="19" t="s">
        <v>33</v>
      </c>
      <c r="K128" s="19">
        <v>7150.0</v>
      </c>
      <c r="L128" s="19" t="s">
        <v>757</v>
      </c>
      <c r="M128" s="19" t="s">
        <v>107</v>
      </c>
      <c r="N128" s="21" t="s">
        <v>46</v>
      </c>
      <c r="O128" s="19" t="s">
        <v>66</v>
      </c>
      <c r="P128" s="19" t="s">
        <v>60</v>
      </c>
      <c r="Q128" s="18" t="s">
        <v>38</v>
      </c>
      <c r="R128" s="19" t="s">
        <v>758</v>
      </c>
      <c r="S128" s="19" t="s">
        <v>759</v>
      </c>
      <c r="T128" s="19" t="s">
        <v>33</v>
      </c>
      <c r="U128" s="19" t="s">
        <v>33</v>
      </c>
      <c r="V128" s="23">
        <v>7317.0</v>
      </c>
      <c r="W128" s="19">
        <v>8635.0</v>
      </c>
      <c r="X128" s="19">
        <v>8500.0</v>
      </c>
      <c r="Y128" s="19">
        <v>8500.0</v>
      </c>
      <c r="Z128" s="10">
        <f t="shared" si="1"/>
        <v>135</v>
      </c>
      <c r="AA128" s="15">
        <f t="shared" si="2"/>
        <v>0</v>
      </c>
      <c r="AB128" s="19" t="s">
        <v>39</v>
      </c>
      <c r="AC128" s="17" t="s">
        <v>760</v>
      </c>
    </row>
    <row r="129">
      <c r="A129" s="17">
        <v>127.0</v>
      </c>
      <c r="B129" s="51">
        <v>46327.0</v>
      </c>
      <c r="C129" s="17" t="s">
        <v>761</v>
      </c>
      <c r="D129" s="17" t="s">
        <v>762</v>
      </c>
      <c r="E129" s="19" t="s">
        <v>167</v>
      </c>
      <c r="F129" s="17" t="s">
        <v>763</v>
      </c>
      <c r="G129" s="17" t="s">
        <v>764</v>
      </c>
      <c r="H129" s="19">
        <v>9.979908588E9</v>
      </c>
      <c r="I129" s="19">
        <v>9.624964293E9</v>
      </c>
      <c r="J129" s="19" t="s">
        <v>33</v>
      </c>
      <c r="K129" s="19">
        <v>995.0</v>
      </c>
      <c r="L129" s="51">
        <v>46722.0</v>
      </c>
      <c r="M129" s="19" t="s">
        <v>224</v>
      </c>
      <c r="N129" s="21" t="s">
        <v>58</v>
      </c>
      <c r="O129" s="19" t="s">
        <v>66</v>
      </c>
      <c r="P129" s="19" t="s">
        <v>79</v>
      </c>
      <c r="Q129" s="18" t="s">
        <v>38</v>
      </c>
      <c r="R129" s="22">
        <v>46997.0</v>
      </c>
      <c r="S129" s="25">
        <v>46600.0</v>
      </c>
      <c r="T129" s="19" t="s">
        <v>33</v>
      </c>
      <c r="U129" s="19" t="s">
        <v>33</v>
      </c>
      <c r="V129" s="23">
        <v>5829.0</v>
      </c>
      <c r="W129" s="23">
        <v>6293.0</v>
      </c>
      <c r="X129" s="19">
        <v>5000.0</v>
      </c>
      <c r="Y129" s="19">
        <v>5000.0</v>
      </c>
      <c r="Z129" s="14">
        <f t="shared" si="1"/>
        <v>1293</v>
      </c>
      <c r="AA129" s="15">
        <f t="shared" si="2"/>
        <v>0</v>
      </c>
      <c r="AB129" s="19" t="s">
        <v>39</v>
      </c>
      <c r="AC129" s="17" t="s">
        <v>765</v>
      </c>
    </row>
    <row r="130">
      <c r="A130" s="17">
        <v>128.0</v>
      </c>
      <c r="B130" s="51">
        <v>46327.0</v>
      </c>
      <c r="C130" s="17" t="s">
        <v>766</v>
      </c>
      <c r="D130" s="17" t="s">
        <v>767</v>
      </c>
      <c r="E130" s="19" t="s">
        <v>102</v>
      </c>
      <c r="F130" s="17" t="s">
        <v>111</v>
      </c>
      <c r="G130" s="17" t="s">
        <v>768</v>
      </c>
      <c r="H130" s="19">
        <v>9.601400866E9</v>
      </c>
      <c r="I130" s="19" t="s">
        <v>33</v>
      </c>
      <c r="J130" s="19" t="s">
        <v>33</v>
      </c>
      <c r="K130" s="19">
        <v>806.0</v>
      </c>
      <c r="L130" s="51">
        <v>46631.0</v>
      </c>
      <c r="M130" s="19" t="s">
        <v>107</v>
      </c>
      <c r="N130" s="21" t="s">
        <v>58</v>
      </c>
      <c r="O130" s="19" t="s">
        <v>36</v>
      </c>
      <c r="P130" s="19" t="s">
        <v>60</v>
      </c>
      <c r="Q130" s="18" t="s">
        <v>38</v>
      </c>
      <c r="R130" s="22">
        <v>47088.0</v>
      </c>
      <c r="S130" s="22">
        <v>46692.0</v>
      </c>
      <c r="T130" s="19" t="s">
        <v>769</v>
      </c>
      <c r="U130" s="19" t="s">
        <v>33</v>
      </c>
      <c r="V130" s="23">
        <v>6270.0</v>
      </c>
      <c r="W130" s="19">
        <v>7399.0</v>
      </c>
      <c r="X130" s="19">
        <v>6500.0</v>
      </c>
      <c r="Y130" s="19">
        <v>6000.0</v>
      </c>
      <c r="Z130" s="10">
        <f t="shared" si="1"/>
        <v>1399</v>
      </c>
      <c r="AA130" s="15">
        <f t="shared" si="2"/>
        <v>-500</v>
      </c>
      <c r="AB130" s="19" t="s">
        <v>39</v>
      </c>
      <c r="AC130" s="17" t="s">
        <v>770</v>
      </c>
    </row>
    <row r="131">
      <c r="A131" s="17">
        <v>129.0</v>
      </c>
      <c r="B131" s="51">
        <v>46327.0</v>
      </c>
      <c r="C131" s="17" t="s">
        <v>771</v>
      </c>
      <c r="D131" s="17" t="s">
        <v>772</v>
      </c>
      <c r="E131" s="19" t="s">
        <v>30</v>
      </c>
      <c r="F131" s="17" t="s">
        <v>773</v>
      </c>
      <c r="G131" s="17" t="s">
        <v>774</v>
      </c>
      <c r="H131" s="19" t="s">
        <v>775</v>
      </c>
      <c r="I131" s="19" t="s">
        <v>33</v>
      </c>
      <c r="J131" s="19" t="s">
        <v>33</v>
      </c>
      <c r="K131" s="19">
        <v>1196.0</v>
      </c>
      <c r="L131" s="51">
        <v>46692.0</v>
      </c>
      <c r="M131" s="19" t="s">
        <v>45</v>
      </c>
      <c r="N131" s="21" t="s">
        <v>58</v>
      </c>
      <c r="O131" s="19" t="s">
        <v>439</v>
      </c>
      <c r="P131" s="19" t="s">
        <v>37</v>
      </c>
      <c r="Q131" s="18" t="s">
        <v>38</v>
      </c>
      <c r="R131" s="22">
        <v>48761.0</v>
      </c>
      <c r="S131" s="19" t="s">
        <v>776</v>
      </c>
      <c r="T131" s="19" t="s">
        <v>33</v>
      </c>
      <c r="U131" s="19" t="s">
        <v>33</v>
      </c>
      <c r="V131" s="19">
        <v>5171.0</v>
      </c>
      <c r="W131" s="19">
        <v>6102.0</v>
      </c>
      <c r="X131" s="19">
        <v>7100.0</v>
      </c>
      <c r="Y131" s="19">
        <v>8200.0</v>
      </c>
      <c r="Z131" s="10">
        <f t="shared" si="1"/>
        <v>-2098</v>
      </c>
      <c r="AA131" s="15">
        <f t="shared" si="2"/>
        <v>1100</v>
      </c>
      <c r="AB131" s="19" t="s">
        <v>39</v>
      </c>
      <c r="AC131" s="17" t="s">
        <v>777</v>
      </c>
    </row>
    <row r="132">
      <c r="A132" s="17">
        <v>130.0</v>
      </c>
      <c r="B132" s="51">
        <v>46327.0</v>
      </c>
      <c r="C132" s="17" t="s">
        <v>778</v>
      </c>
      <c r="D132" s="17" t="s">
        <v>779</v>
      </c>
      <c r="E132" s="19" t="s">
        <v>52</v>
      </c>
      <c r="F132" s="17" t="s">
        <v>780</v>
      </c>
      <c r="G132" s="17" t="s">
        <v>781</v>
      </c>
      <c r="H132" s="19">
        <v>9.624700004E9</v>
      </c>
      <c r="I132" s="19">
        <v>9.852944333E9</v>
      </c>
      <c r="J132" s="19" t="s">
        <v>33</v>
      </c>
      <c r="K132" s="19">
        <v>2990.0</v>
      </c>
      <c r="L132" s="51">
        <v>46631.0</v>
      </c>
      <c r="M132" s="19" t="s">
        <v>92</v>
      </c>
      <c r="N132" s="21" t="s">
        <v>58</v>
      </c>
      <c r="O132" s="19" t="s">
        <v>66</v>
      </c>
      <c r="P132" s="19" t="s">
        <v>60</v>
      </c>
      <c r="Q132" s="18" t="s">
        <v>38</v>
      </c>
      <c r="R132" s="25">
        <v>46488.0</v>
      </c>
      <c r="S132" s="19" t="s">
        <v>163</v>
      </c>
      <c r="T132" s="19" t="s">
        <v>33</v>
      </c>
      <c r="U132" s="19" t="s">
        <v>33</v>
      </c>
      <c r="V132" s="23">
        <v>17549.0</v>
      </c>
      <c r="W132" s="23">
        <v>18621.0</v>
      </c>
      <c r="X132" s="19">
        <v>13470.0</v>
      </c>
      <c r="Y132" s="19">
        <v>13500.0</v>
      </c>
      <c r="Z132" s="14">
        <f t="shared" si="1"/>
        <v>5121</v>
      </c>
      <c r="AA132" s="15">
        <f t="shared" si="2"/>
        <v>30</v>
      </c>
      <c r="AB132" s="19" t="s">
        <v>39</v>
      </c>
      <c r="AC132" s="17" t="s">
        <v>782</v>
      </c>
    </row>
    <row r="133">
      <c r="A133" s="17">
        <v>131.0</v>
      </c>
      <c r="B133" s="51">
        <v>46327.0</v>
      </c>
      <c r="C133" s="17" t="s">
        <v>783</v>
      </c>
      <c r="D133" s="17" t="s">
        <v>784</v>
      </c>
      <c r="E133" s="19" t="s">
        <v>52</v>
      </c>
      <c r="F133" s="17" t="s">
        <v>785</v>
      </c>
      <c r="G133" s="17" t="s">
        <v>786</v>
      </c>
      <c r="H133" s="19">
        <v>8.1285002E9</v>
      </c>
      <c r="I133" s="19">
        <v>9.9047002E9</v>
      </c>
      <c r="J133" s="19" t="s">
        <v>33</v>
      </c>
      <c r="K133" s="19">
        <v>1600.0</v>
      </c>
      <c r="L133" s="51">
        <v>46631.0</v>
      </c>
      <c r="M133" s="19" t="s">
        <v>152</v>
      </c>
      <c r="N133" s="21" t="s">
        <v>58</v>
      </c>
      <c r="O133" s="19" t="s">
        <v>129</v>
      </c>
      <c r="P133" s="19" t="s">
        <v>79</v>
      </c>
      <c r="Q133" s="18" t="s">
        <v>38</v>
      </c>
      <c r="R133" s="22">
        <v>46661.0</v>
      </c>
      <c r="S133" s="25">
        <v>46296.0</v>
      </c>
      <c r="T133" s="19" t="s">
        <v>33</v>
      </c>
      <c r="U133" s="19" t="s">
        <v>33</v>
      </c>
      <c r="V133" s="19">
        <v>17282.05</v>
      </c>
      <c r="W133" s="19">
        <v>18306.45</v>
      </c>
      <c r="X133" s="19">
        <v>12231.0</v>
      </c>
      <c r="Y133" s="19">
        <v>12000.0</v>
      </c>
      <c r="Z133" s="10">
        <f t="shared" si="1"/>
        <v>6306.45</v>
      </c>
      <c r="AA133" s="15">
        <f t="shared" si="2"/>
        <v>-231</v>
      </c>
      <c r="AB133" s="19" t="s">
        <v>39</v>
      </c>
      <c r="AC133" s="17" t="s">
        <v>787</v>
      </c>
    </row>
    <row r="134">
      <c r="A134" s="17">
        <v>132.0</v>
      </c>
      <c r="B134" s="51">
        <v>46327.0</v>
      </c>
      <c r="C134" s="17" t="s">
        <v>788</v>
      </c>
      <c r="D134" s="17" t="s">
        <v>789</v>
      </c>
      <c r="E134" s="19" t="s">
        <v>30</v>
      </c>
      <c r="F134" s="17" t="s">
        <v>790</v>
      </c>
      <c r="G134" s="17" t="s">
        <v>791</v>
      </c>
      <c r="H134" s="19">
        <v>8.758651773E9</v>
      </c>
      <c r="I134" s="19">
        <v>7.567545888E9</v>
      </c>
      <c r="J134" s="19" t="s">
        <v>33</v>
      </c>
      <c r="K134" s="19">
        <v>1197.0</v>
      </c>
      <c r="L134" s="51">
        <v>46692.0</v>
      </c>
      <c r="M134" s="19" t="s">
        <v>152</v>
      </c>
      <c r="N134" s="21" t="s">
        <v>35</v>
      </c>
      <c r="O134" s="19" t="s">
        <v>36</v>
      </c>
      <c r="P134" s="19" t="s">
        <v>37</v>
      </c>
      <c r="Q134" s="18" t="s">
        <v>38</v>
      </c>
      <c r="R134" s="22">
        <v>51105.0</v>
      </c>
      <c r="S134" s="19" t="s">
        <v>792</v>
      </c>
      <c r="T134" s="19" t="s">
        <v>33</v>
      </c>
      <c r="U134" s="19" t="s">
        <v>33</v>
      </c>
      <c r="V134" s="23">
        <v>11491.73</v>
      </c>
      <c r="W134" s="23">
        <v>13560.0</v>
      </c>
      <c r="X134" s="19">
        <v>13561.0</v>
      </c>
      <c r="Y134" s="19">
        <v>13500.0</v>
      </c>
      <c r="Z134" s="14">
        <f t="shared" si="1"/>
        <v>60</v>
      </c>
      <c r="AA134" s="15">
        <f t="shared" si="2"/>
        <v>-61</v>
      </c>
      <c r="AB134" s="19" t="s">
        <v>39</v>
      </c>
      <c r="AC134" s="17" t="s">
        <v>793</v>
      </c>
    </row>
    <row r="135">
      <c r="A135" s="17">
        <v>133.0</v>
      </c>
      <c r="B135" s="51">
        <v>46327.0</v>
      </c>
      <c r="C135" s="17" t="s">
        <v>794</v>
      </c>
      <c r="D135" s="17" t="s">
        <v>795</v>
      </c>
      <c r="E135" s="19" t="s">
        <v>52</v>
      </c>
      <c r="F135" s="17" t="s">
        <v>143</v>
      </c>
      <c r="G135" s="17" t="s">
        <v>796</v>
      </c>
      <c r="H135" s="19">
        <v>9.979218799E9</v>
      </c>
      <c r="I135" s="19">
        <v>8.1540883E9</v>
      </c>
      <c r="J135" s="19" t="s">
        <v>55</v>
      </c>
      <c r="K135" s="19">
        <v>2100.0</v>
      </c>
      <c r="L135" s="51">
        <v>46661.0</v>
      </c>
      <c r="M135" s="19" t="s">
        <v>92</v>
      </c>
      <c r="N135" s="21" t="s">
        <v>46</v>
      </c>
      <c r="O135" s="19" t="s">
        <v>431</v>
      </c>
      <c r="P135" s="19" t="s">
        <v>79</v>
      </c>
      <c r="Q135" s="18" t="s">
        <v>38</v>
      </c>
      <c r="R135" s="25">
        <v>46722.0</v>
      </c>
      <c r="S135" s="22">
        <v>46241.0</v>
      </c>
      <c r="T135" s="19" t="s">
        <v>33</v>
      </c>
      <c r="U135" s="19" t="s">
        <v>33</v>
      </c>
      <c r="V135" s="23">
        <v>16149.0</v>
      </c>
      <c r="W135" s="23">
        <v>16969.0</v>
      </c>
      <c r="X135" s="19">
        <v>11500.0</v>
      </c>
      <c r="Y135" s="19">
        <v>11000.0</v>
      </c>
      <c r="Z135" s="14">
        <f t="shared" si="1"/>
        <v>5969</v>
      </c>
      <c r="AA135" s="15">
        <f t="shared" si="2"/>
        <v>-500</v>
      </c>
      <c r="AB135" s="19" t="s">
        <v>39</v>
      </c>
      <c r="AC135" s="47" t="s">
        <v>797</v>
      </c>
    </row>
    <row r="136">
      <c r="A136" s="17">
        <v>134.0</v>
      </c>
      <c r="B136" s="51">
        <v>46327.0</v>
      </c>
      <c r="C136" s="17" t="s">
        <v>798</v>
      </c>
      <c r="D136" s="17" t="s">
        <v>799</v>
      </c>
      <c r="E136" s="19" t="s">
        <v>167</v>
      </c>
      <c r="F136" s="17" t="s">
        <v>800</v>
      </c>
      <c r="G136" s="17" t="s">
        <v>801</v>
      </c>
      <c r="H136" s="19">
        <v>9.724221444E9</v>
      </c>
      <c r="I136" s="19">
        <v>8.799501038E9</v>
      </c>
      <c r="J136" s="19" t="s">
        <v>105</v>
      </c>
      <c r="K136" s="19">
        <v>995.0</v>
      </c>
      <c r="L136" s="51">
        <v>46631.0</v>
      </c>
      <c r="M136" s="19" t="s">
        <v>152</v>
      </c>
      <c r="N136" s="21" t="s">
        <v>58</v>
      </c>
      <c r="O136" s="19" t="s">
        <v>66</v>
      </c>
      <c r="P136" s="19" t="s">
        <v>79</v>
      </c>
      <c r="Q136" s="18" t="s">
        <v>38</v>
      </c>
      <c r="R136" s="22">
        <v>47058.0</v>
      </c>
      <c r="S136" s="22">
        <v>46508.0</v>
      </c>
      <c r="T136" s="19" t="s">
        <v>33</v>
      </c>
      <c r="U136" s="19" t="s">
        <v>33</v>
      </c>
      <c r="V136" s="24">
        <v>5255.5</v>
      </c>
      <c r="W136" s="23">
        <v>5617.54</v>
      </c>
      <c r="X136" s="19">
        <v>5000.0</v>
      </c>
      <c r="Y136" s="19">
        <v>5000.0</v>
      </c>
      <c r="Z136" s="14">
        <f t="shared" si="1"/>
        <v>617.54</v>
      </c>
      <c r="AA136" s="15">
        <f t="shared" si="2"/>
        <v>0</v>
      </c>
      <c r="AB136" s="19" t="s">
        <v>39</v>
      </c>
      <c r="AC136" s="17" t="s">
        <v>802</v>
      </c>
    </row>
    <row r="137">
      <c r="A137" s="17">
        <v>135.0</v>
      </c>
      <c r="B137" s="51">
        <v>46357.0</v>
      </c>
      <c r="C137" s="17" t="s">
        <v>803</v>
      </c>
      <c r="D137" s="17" t="s">
        <v>804</v>
      </c>
      <c r="E137" s="19" t="s">
        <v>269</v>
      </c>
      <c r="F137" s="17" t="s">
        <v>805</v>
      </c>
      <c r="G137" s="17" t="s">
        <v>806</v>
      </c>
      <c r="H137" s="19">
        <v>7.984551688E9</v>
      </c>
      <c r="I137" s="19" t="s">
        <v>33</v>
      </c>
      <c r="J137" s="19" t="s">
        <v>33</v>
      </c>
      <c r="K137" s="19">
        <v>11990.0</v>
      </c>
      <c r="L137" s="51">
        <v>46692.0</v>
      </c>
      <c r="M137" s="19" t="s">
        <v>807</v>
      </c>
      <c r="N137" s="21" t="s">
        <v>58</v>
      </c>
      <c r="O137" s="19" t="s">
        <v>36</v>
      </c>
      <c r="P137" s="19" t="s">
        <v>79</v>
      </c>
      <c r="Q137" s="18" t="s">
        <v>38</v>
      </c>
      <c r="R137" s="22">
        <v>47088.0</v>
      </c>
      <c r="S137" s="19" t="s">
        <v>808</v>
      </c>
      <c r="T137" s="19" t="s">
        <v>809</v>
      </c>
      <c r="U137" s="19" t="s">
        <v>33</v>
      </c>
      <c r="V137" s="23">
        <v>43605.0</v>
      </c>
      <c r="W137" s="23">
        <v>47920.0</v>
      </c>
      <c r="X137" s="19">
        <v>40000.0</v>
      </c>
      <c r="Y137" s="19">
        <v>40000.0</v>
      </c>
      <c r="Z137" s="14">
        <f t="shared" si="1"/>
        <v>7920</v>
      </c>
      <c r="AA137" s="15">
        <f t="shared" si="2"/>
        <v>0</v>
      </c>
      <c r="AB137" s="19" t="s">
        <v>39</v>
      </c>
      <c r="AC137" s="17" t="s">
        <v>810</v>
      </c>
    </row>
    <row r="138">
      <c r="A138" s="17">
        <v>136.0</v>
      </c>
      <c r="B138" s="19" t="s">
        <v>811</v>
      </c>
      <c r="C138" s="17" t="s">
        <v>812</v>
      </c>
      <c r="D138" s="17" t="s">
        <v>813</v>
      </c>
      <c r="E138" s="19" t="s">
        <v>30</v>
      </c>
      <c r="F138" s="17" t="s">
        <v>814</v>
      </c>
      <c r="G138" s="17" t="s">
        <v>815</v>
      </c>
      <c r="H138" s="19">
        <v>9.510307212E9</v>
      </c>
      <c r="I138" s="19" t="s">
        <v>33</v>
      </c>
      <c r="J138" s="19" t="s">
        <v>357</v>
      </c>
      <c r="K138" s="19">
        <v>1495.0</v>
      </c>
      <c r="L138" s="51">
        <v>46692.0</v>
      </c>
      <c r="M138" s="19" t="s">
        <v>45</v>
      </c>
      <c r="N138" s="21" t="s">
        <v>46</v>
      </c>
      <c r="O138" s="19" t="s">
        <v>66</v>
      </c>
      <c r="P138" s="19" t="s">
        <v>37</v>
      </c>
      <c r="Q138" s="18" t="s">
        <v>38</v>
      </c>
      <c r="R138" s="19" t="s">
        <v>816</v>
      </c>
      <c r="S138" s="19" t="s">
        <v>294</v>
      </c>
      <c r="T138" s="19" t="s">
        <v>33</v>
      </c>
      <c r="U138" s="19" t="s">
        <v>33</v>
      </c>
      <c r="V138" s="24">
        <v>3476.0</v>
      </c>
      <c r="W138" s="24">
        <v>4102.0</v>
      </c>
      <c r="X138" s="19">
        <v>4000.0</v>
      </c>
      <c r="Y138" s="19">
        <v>4000.0</v>
      </c>
      <c r="Z138" s="15">
        <f t="shared" si="1"/>
        <v>102</v>
      </c>
      <c r="AA138" s="15">
        <f t="shared" si="2"/>
        <v>0</v>
      </c>
      <c r="AB138" s="19" t="s">
        <v>39</v>
      </c>
      <c r="AC138" s="17" t="s">
        <v>817</v>
      </c>
    </row>
    <row r="139">
      <c r="A139" s="17">
        <v>137.0</v>
      </c>
      <c r="B139" s="19" t="s">
        <v>811</v>
      </c>
      <c r="C139" s="17" t="s">
        <v>818</v>
      </c>
      <c r="D139" s="17" t="s">
        <v>819</v>
      </c>
      <c r="E139" s="19" t="s">
        <v>75</v>
      </c>
      <c r="F139" s="17" t="s">
        <v>820</v>
      </c>
      <c r="G139" s="17" t="s">
        <v>821</v>
      </c>
      <c r="H139" s="19">
        <v>9.106613445E9</v>
      </c>
      <c r="I139" s="19" t="s">
        <v>33</v>
      </c>
      <c r="J139" s="19" t="s">
        <v>33</v>
      </c>
      <c r="K139" s="19">
        <v>149.0</v>
      </c>
      <c r="L139" s="51">
        <v>46722.0</v>
      </c>
      <c r="M139" s="19" t="s">
        <v>78</v>
      </c>
      <c r="N139" s="21" t="s">
        <v>46</v>
      </c>
      <c r="O139" s="19" t="s">
        <v>36</v>
      </c>
      <c r="P139" s="19" t="s">
        <v>79</v>
      </c>
      <c r="Q139" s="18" t="s">
        <v>38</v>
      </c>
      <c r="R139" s="19" t="s">
        <v>822</v>
      </c>
      <c r="S139" s="22">
        <v>46631.0</v>
      </c>
      <c r="T139" s="19" t="s">
        <v>33</v>
      </c>
      <c r="U139" s="19" t="s">
        <v>33</v>
      </c>
      <c r="V139" s="23">
        <v>714.0</v>
      </c>
      <c r="W139" s="23">
        <v>842.0</v>
      </c>
      <c r="X139" s="19">
        <v>850.0</v>
      </c>
      <c r="Y139" s="19">
        <v>850.0</v>
      </c>
      <c r="Z139" s="14">
        <f t="shared" si="1"/>
        <v>-8</v>
      </c>
      <c r="AA139" s="15">
        <f t="shared" si="2"/>
        <v>0</v>
      </c>
      <c r="AB139" s="19" t="s">
        <v>39</v>
      </c>
      <c r="AC139" s="17" t="s">
        <v>823</v>
      </c>
    </row>
    <row r="140">
      <c r="A140" s="17">
        <v>138.0</v>
      </c>
      <c r="B140" s="19" t="s">
        <v>811</v>
      </c>
      <c r="C140" s="17" t="s">
        <v>824</v>
      </c>
      <c r="D140" s="17" t="s">
        <v>825</v>
      </c>
      <c r="E140" s="19" t="s">
        <v>52</v>
      </c>
      <c r="F140" s="17" t="s">
        <v>826</v>
      </c>
      <c r="G140" s="17" t="s">
        <v>827</v>
      </c>
      <c r="H140" s="19">
        <v>9.726844056E9</v>
      </c>
      <c r="I140" s="19">
        <v>9.913775673E9</v>
      </c>
      <c r="J140" s="19" t="s">
        <v>33</v>
      </c>
      <c r="K140" s="19">
        <v>2670.0</v>
      </c>
      <c r="L140" s="51">
        <v>46692.0</v>
      </c>
      <c r="M140" s="19" t="s">
        <v>57</v>
      </c>
      <c r="N140" s="21" t="s">
        <v>58</v>
      </c>
      <c r="O140" s="19" t="s">
        <v>36</v>
      </c>
      <c r="P140" s="19" t="s">
        <v>60</v>
      </c>
      <c r="Q140" s="18" t="s">
        <v>38</v>
      </c>
      <c r="R140" s="22">
        <v>45146.0</v>
      </c>
      <c r="S140" s="22">
        <v>45447.0</v>
      </c>
      <c r="T140" s="19" t="s">
        <v>33</v>
      </c>
      <c r="U140" s="19" t="s">
        <v>33</v>
      </c>
      <c r="V140" s="23">
        <v>17859.0</v>
      </c>
      <c r="W140" s="23">
        <v>18975.0</v>
      </c>
      <c r="X140" s="19">
        <v>12799.0</v>
      </c>
      <c r="Y140" s="19">
        <v>13000.0</v>
      </c>
      <c r="Z140" s="14">
        <f t="shared" si="1"/>
        <v>5975</v>
      </c>
      <c r="AA140" s="15">
        <f t="shared" si="2"/>
        <v>201</v>
      </c>
      <c r="AB140" s="19" t="s">
        <v>39</v>
      </c>
      <c r="AC140" s="17" t="s">
        <v>828</v>
      </c>
    </row>
    <row r="141">
      <c r="A141" s="17">
        <v>139.0</v>
      </c>
      <c r="B141" s="19" t="s">
        <v>811</v>
      </c>
      <c r="C141" s="17" t="s">
        <v>829</v>
      </c>
      <c r="D141" s="18">
        <v>9.00926538E8</v>
      </c>
      <c r="E141" s="19" t="s">
        <v>30</v>
      </c>
      <c r="F141" s="17" t="s">
        <v>830</v>
      </c>
      <c r="G141" s="17" t="s">
        <v>831</v>
      </c>
      <c r="H141" s="19">
        <v>7.567658608E9</v>
      </c>
      <c r="I141" s="19">
        <v>9.90962411E9</v>
      </c>
      <c r="J141" s="19" t="s">
        <v>33</v>
      </c>
      <c r="K141" s="19">
        <v>998.0</v>
      </c>
      <c r="L141" s="51">
        <v>46692.0</v>
      </c>
      <c r="M141" s="19" t="s">
        <v>34</v>
      </c>
      <c r="N141" s="21" t="s">
        <v>58</v>
      </c>
      <c r="O141" s="19" t="s">
        <v>59</v>
      </c>
      <c r="P141" s="19" t="s">
        <v>37</v>
      </c>
      <c r="Q141" s="18" t="s">
        <v>38</v>
      </c>
      <c r="R141" s="22">
        <v>50588.0</v>
      </c>
      <c r="S141" s="19" t="s">
        <v>832</v>
      </c>
      <c r="T141" s="19" t="s">
        <v>33</v>
      </c>
      <c r="U141" s="19" t="s">
        <v>33</v>
      </c>
      <c r="V141" s="23">
        <v>10732.71</v>
      </c>
      <c r="W141" s="19">
        <v>12665.0</v>
      </c>
      <c r="X141" s="19">
        <v>12659.0</v>
      </c>
      <c r="Y141" s="19">
        <v>12659.0</v>
      </c>
      <c r="Z141" s="10">
        <f t="shared" si="1"/>
        <v>6</v>
      </c>
      <c r="AA141" s="15">
        <f t="shared" si="2"/>
        <v>0</v>
      </c>
      <c r="AB141" s="19" t="s">
        <v>39</v>
      </c>
      <c r="AC141" s="17" t="s">
        <v>833</v>
      </c>
    </row>
    <row r="142">
      <c r="A142" s="17">
        <v>140.0</v>
      </c>
      <c r="B142" s="19" t="s">
        <v>811</v>
      </c>
      <c r="C142" s="17" t="s">
        <v>834</v>
      </c>
      <c r="D142" s="17" t="s">
        <v>835</v>
      </c>
      <c r="E142" s="19" t="s">
        <v>88</v>
      </c>
      <c r="F142" s="17" t="s">
        <v>836</v>
      </c>
      <c r="G142" s="17" t="s">
        <v>837</v>
      </c>
      <c r="H142" s="19">
        <v>9.638304642E9</v>
      </c>
      <c r="I142" s="19">
        <v>9.51234443E9</v>
      </c>
      <c r="J142" s="19" t="s">
        <v>33</v>
      </c>
      <c r="K142" s="19">
        <v>55000.0</v>
      </c>
      <c r="L142" s="19" t="s">
        <v>838</v>
      </c>
      <c r="M142" s="19" t="s">
        <v>839</v>
      </c>
      <c r="N142" s="21" t="s">
        <v>58</v>
      </c>
      <c r="O142" s="19" t="s">
        <v>424</v>
      </c>
      <c r="P142" s="19" t="s">
        <v>79</v>
      </c>
      <c r="Q142" s="18" t="s">
        <v>38</v>
      </c>
      <c r="R142" s="19" t="s">
        <v>503</v>
      </c>
      <c r="S142" s="19" t="s">
        <v>146</v>
      </c>
      <c r="T142" s="19" t="s">
        <v>840</v>
      </c>
      <c r="U142" s="19" t="s">
        <v>33</v>
      </c>
      <c r="V142" s="23">
        <v>80696.0</v>
      </c>
      <c r="W142" s="23">
        <v>89469.0</v>
      </c>
      <c r="X142" s="19">
        <v>83000.0</v>
      </c>
      <c r="Y142" s="19">
        <v>83000.0</v>
      </c>
      <c r="Z142" s="14">
        <f t="shared" si="1"/>
        <v>6469</v>
      </c>
      <c r="AA142" s="15">
        <f t="shared" si="2"/>
        <v>0</v>
      </c>
      <c r="AB142" s="19" t="s">
        <v>39</v>
      </c>
      <c r="AC142" s="17" t="s">
        <v>841</v>
      </c>
    </row>
    <row r="143">
      <c r="A143" s="17">
        <v>141.0</v>
      </c>
      <c r="B143" s="19" t="s">
        <v>811</v>
      </c>
      <c r="C143" s="17" t="s">
        <v>842</v>
      </c>
      <c r="D143" s="17" t="s">
        <v>843</v>
      </c>
      <c r="E143" s="19" t="s">
        <v>52</v>
      </c>
      <c r="F143" s="17" t="s">
        <v>844</v>
      </c>
      <c r="G143" s="17" t="s">
        <v>845</v>
      </c>
      <c r="H143" s="19">
        <v>8.780104711E9</v>
      </c>
      <c r="I143" s="19">
        <v>7.567363981E9</v>
      </c>
      <c r="J143" s="19" t="s">
        <v>33</v>
      </c>
      <c r="K143" s="19">
        <v>2999.0</v>
      </c>
      <c r="L143" s="51">
        <v>46722.0</v>
      </c>
      <c r="M143" s="19" t="s">
        <v>57</v>
      </c>
      <c r="N143" s="21" t="s">
        <v>58</v>
      </c>
      <c r="O143" s="19" t="s">
        <v>129</v>
      </c>
      <c r="P143" s="19" t="s">
        <v>60</v>
      </c>
      <c r="Q143" s="18" t="s">
        <v>38</v>
      </c>
      <c r="R143" s="19" t="s">
        <v>846</v>
      </c>
      <c r="S143" s="19" t="s">
        <v>400</v>
      </c>
      <c r="T143" s="19" t="s">
        <v>33</v>
      </c>
      <c r="U143" s="19" t="s">
        <v>33</v>
      </c>
      <c r="V143" s="23">
        <v>22928.0</v>
      </c>
      <c r="W143" s="23">
        <v>24948.0</v>
      </c>
      <c r="X143" s="19">
        <v>15791.0</v>
      </c>
      <c r="Y143" s="19">
        <v>16000.0</v>
      </c>
      <c r="Z143" s="14">
        <f t="shared" si="1"/>
        <v>8948</v>
      </c>
      <c r="AA143" s="15">
        <f t="shared" si="2"/>
        <v>209</v>
      </c>
      <c r="AB143" s="19" t="s">
        <v>39</v>
      </c>
      <c r="AC143" s="17" t="s">
        <v>847</v>
      </c>
    </row>
    <row r="144">
      <c r="A144" s="17">
        <v>142.0</v>
      </c>
      <c r="B144" s="19" t="s">
        <v>811</v>
      </c>
      <c r="C144" s="17" t="s">
        <v>848</v>
      </c>
      <c r="D144" s="17" t="s">
        <v>849</v>
      </c>
      <c r="E144" s="19" t="s">
        <v>52</v>
      </c>
      <c r="F144" s="17" t="s">
        <v>850</v>
      </c>
      <c r="G144" s="17" t="s">
        <v>851</v>
      </c>
      <c r="H144" s="19">
        <v>9.979008407E9</v>
      </c>
      <c r="I144" s="19" t="s">
        <v>852</v>
      </c>
      <c r="J144" s="19" t="s">
        <v>33</v>
      </c>
      <c r="K144" s="19">
        <v>2735.0</v>
      </c>
      <c r="L144" s="51">
        <v>46722.0</v>
      </c>
      <c r="M144" s="19" t="s">
        <v>57</v>
      </c>
      <c r="N144" s="21" t="s">
        <v>58</v>
      </c>
      <c r="O144" s="19" t="s">
        <v>66</v>
      </c>
      <c r="P144" s="19" t="s">
        <v>60</v>
      </c>
      <c r="Q144" s="18" t="s">
        <v>38</v>
      </c>
      <c r="R144" s="19" t="s">
        <v>853</v>
      </c>
      <c r="S144" s="19" t="s">
        <v>854</v>
      </c>
      <c r="T144" s="19" t="s">
        <v>33</v>
      </c>
      <c r="U144" s="19" t="s">
        <v>33</v>
      </c>
      <c r="V144" s="23">
        <v>21071.0</v>
      </c>
      <c r="W144" s="23">
        <v>22764.0</v>
      </c>
      <c r="X144" s="19">
        <v>14849.0</v>
      </c>
      <c r="Y144" s="19">
        <v>15000.0</v>
      </c>
      <c r="Z144" s="14">
        <f t="shared" si="1"/>
        <v>7764</v>
      </c>
      <c r="AA144" s="15">
        <f t="shared" si="2"/>
        <v>151</v>
      </c>
      <c r="AB144" s="19" t="s">
        <v>39</v>
      </c>
      <c r="AC144" s="17" t="s">
        <v>855</v>
      </c>
    </row>
    <row r="145">
      <c r="A145" s="17">
        <v>143.0</v>
      </c>
      <c r="B145" s="19" t="s">
        <v>811</v>
      </c>
      <c r="C145" s="17" t="s">
        <v>856</v>
      </c>
      <c r="D145" s="17" t="s">
        <v>857</v>
      </c>
      <c r="E145" s="19" t="s">
        <v>52</v>
      </c>
      <c r="F145" s="17" t="s">
        <v>858</v>
      </c>
      <c r="G145" s="17" t="s">
        <v>859</v>
      </c>
      <c r="H145" s="19">
        <v>9.714559302E9</v>
      </c>
      <c r="I145" s="19">
        <v>9.913207517E9</v>
      </c>
      <c r="J145" s="19" t="s">
        <v>33</v>
      </c>
      <c r="K145" s="19">
        <v>2750.0</v>
      </c>
      <c r="L145" s="19" t="s">
        <v>757</v>
      </c>
      <c r="M145" s="19" t="s">
        <v>839</v>
      </c>
      <c r="N145" s="21" t="s">
        <v>46</v>
      </c>
      <c r="O145" s="19" t="s">
        <v>431</v>
      </c>
      <c r="P145" s="19" t="s">
        <v>60</v>
      </c>
      <c r="Q145" s="18" t="s">
        <v>860</v>
      </c>
      <c r="R145" s="22">
        <v>43868.0</v>
      </c>
      <c r="S145" s="19" t="s">
        <v>33</v>
      </c>
      <c r="T145" s="19" t="s">
        <v>33</v>
      </c>
      <c r="U145" s="19"/>
      <c r="V145" s="23">
        <v>16149.0</v>
      </c>
      <c r="W145" s="23">
        <v>16969.0</v>
      </c>
      <c r="X145" s="19">
        <v>9500.0</v>
      </c>
      <c r="Y145" s="19">
        <v>9500.0</v>
      </c>
      <c r="Z145" s="14">
        <f t="shared" si="1"/>
        <v>7469</v>
      </c>
      <c r="AA145" s="15">
        <f t="shared" si="2"/>
        <v>0</v>
      </c>
      <c r="AB145" s="19" t="s">
        <v>39</v>
      </c>
      <c r="AC145" s="17" t="s">
        <v>861</v>
      </c>
    </row>
    <row r="146">
      <c r="A146" s="17">
        <v>144.0</v>
      </c>
      <c r="B146" s="19" t="s">
        <v>811</v>
      </c>
      <c r="C146" s="17" t="s">
        <v>862</v>
      </c>
      <c r="D146" s="17" t="s">
        <v>863</v>
      </c>
      <c r="E146" s="19" t="s">
        <v>88</v>
      </c>
      <c r="F146" s="17" t="s">
        <v>864</v>
      </c>
      <c r="G146" s="17" t="s">
        <v>865</v>
      </c>
      <c r="H146" s="19">
        <v>9.82573984E9</v>
      </c>
      <c r="I146" s="19" t="s">
        <v>866</v>
      </c>
      <c r="J146" s="19" t="s">
        <v>33</v>
      </c>
      <c r="K146" s="19">
        <v>42000.0</v>
      </c>
      <c r="L146" s="51">
        <v>46722.0</v>
      </c>
      <c r="M146" s="19" t="s">
        <v>107</v>
      </c>
      <c r="N146" s="21" t="s">
        <v>58</v>
      </c>
      <c r="O146" s="19" t="s">
        <v>153</v>
      </c>
      <c r="P146" s="19" t="s">
        <v>60</v>
      </c>
      <c r="Q146" s="18" t="s">
        <v>38</v>
      </c>
      <c r="R146" s="22">
        <v>46241.0</v>
      </c>
      <c r="S146" s="19" t="s">
        <v>867</v>
      </c>
      <c r="T146" s="19" t="s">
        <v>868</v>
      </c>
      <c r="U146" s="19" t="s">
        <v>33</v>
      </c>
      <c r="V146" s="23">
        <v>47453.0</v>
      </c>
      <c r="W146" s="23">
        <v>50243.0</v>
      </c>
      <c r="X146" s="19">
        <v>42931.0</v>
      </c>
      <c r="Y146" s="19">
        <v>43500.0</v>
      </c>
      <c r="Z146" s="14">
        <f t="shared" si="1"/>
        <v>6743</v>
      </c>
      <c r="AA146" s="15">
        <f t="shared" si="2"/>
        <v>569</v>
      </c>
      <c r="AB146" s="19" t="s">
        <v>39</v>
      </c>
      <c r="AC146" s="17" t="s">
        <v>869</v>
      </c>
    </row>
    <row r="147">
      <c r="A147" s="17">
        <v>145.0</v>
      </c>
      <c r="B147" s="19" t="s">
        <v>811</v>
      </c>
      <c r="C147" s="17" t="s">
        <v>870</v>
      </c>
      <c r="D147" s="17" t="s">
        <v>871</v>
      </c>
      <c r="E147" s="19" t="s">
        <v>52</v>
      </c>
      <c r="F147" s="17" t="s">
        <v>872</v>
      </c>
      <c r="G147" s="17" t="s">
        <v>873</v>
      </c>
      <c r="H147" s="19">
        <v>7.98467355E9</v>
      </c>
      <c r="I147" s="19" t="s">
        <v>33</v>
      </c>
      <c r="J147" s="19" t="s">
        <v>33</v>
      </c>
      <c r="K147" s="19">
        <v>2750.0</v>
      </c>
      <c r="L147" s="51">
        <v>46692.0</v>
      </c>
      <c r="M147" s="19" t="s">
        <v>57</v>
      </c>
      <c r="N147" s="21" t="s">
        <v>58</v>
      </c>
      <c r="O147" s="19" t="s">
        <v>36</v>
      </c>
      <c r="P147" s="19" t="s">
        <v>60</v>
      </c>
      <c r="Q147" s="18" t="s">
        <v>38</v>
      </c>
      <c r="R147" s="22">
        <v>46423.0</v>
      </c>
      <c r="S147" s="22">
        <v>46692.0</v>
      </c>
      <c r="T147" s="19" t="s">
        <v>33</v>
      </c>
      <c r="U147" s="19" t="s">
        <v>33</v>
      </c>
      <c r="V147" s="23">
        <v>18183.0</v>
      </c>
      <c r="W147" s="23">
        <v>19359.0</v>
      </c>
      <c r="X147" s="19">
        <v>13000.0</v>
      </c>
      <c r="Y147" s="19">
        <v>13000.0</v>
      </c>
      <c r="Z147" s="14">
        <f t="shared" si="1"/>
        <v>6359</v>
      </c>
      <c r="AA147" s="15">
        <f t="shared" si="2"/>
        <v>0</v>
      </c>
      <c r="AB147" s="19" t="s">
        <v>39</v>
      </c>
      <c r="AC147" s="17" t="s">
        <v>874</v>
      </c>
    </row>
    <row r="148">
      <c r="A148" s="17">
        <v>146.0</v>
      </c>
      <c r="B148" s="19" t="s">
        <v>811</v>
      </c>
      <c r="C148" s="17" t="s">
        <v>875</v>
      </c>
      <c r="D148" s="17" t="s">
        <v>876</v>
      </c>
      <c r="E148" s="19" t="s">
        <v>52</v>
      </c>
      <c r="F148" s="17" t="s">
        <v>877</v>
      </c>
      <c r="G148" s="17" t="s">
        <v>878</v>
      </c>
      <c r="H148" s="19">
        <v>9.724670189E9</v>
      </c>
      <c r="I148" s="19">
        <v>7.990095386E9</v>
      </c>
      <c r="J148" s="19" t="s">
        <v>105</v>
      </c>
      <c r="K148" s="19">
        <v>3460.0</v>
      </c>
      <c r="L148" s="20">
        <v>46722.0</v>
      </c>
      <c r="M148" s="19" t="s">
        <v>57</v>
      </c>
      <c r="N148" s="21" t="s">
        <v>58</v>
      </c>
      <c r="O148" s="19" t="s">
        <v>66</v>
      </c>
      <c r="P148" s="19" t="s">
        <v>79</v>
      </c>
      <c r="Q148" s="18" t="s">
        <v>38</v>
      </c>
      <c r="R148" s="22">
        <v>47058.0</v>
      </c>
      <c r="S148" s="19" t="s">
        <v>635</v>
      </c>
      <c r="T148" s="19" t="s">
        <v>879</v>
      </c>
      <c r="U148" s="19" t="s">
        <v>33</v>
      </c>
      <c r="V148" s="23">
        <v>21985.0</v>
      </c>
      <c r="W148" s="23">
        <v>23846.0</v>
      </c>
      <c r="X148" s="19">
        <v>16262.0</v>
      </c>
      <c r="Y148" s="19">
        <v>16000.0</v>
      </c>
      <c r="Z148" s="14">
        <f t="shared" si="1"/>
        <v>7846</v>
      </c>
      <c r="AA148" s="15">
        <f t="shared" si="2"/>
        <v>-262</v>
      </c>
      <c r="AB148" s="19" t="s">
        <v>39</v>
      </c>
      <c r="AC148" s="17" t="s">
        <v>880</v>
      </c>
    </row>
    <row r="149">
      <c r="A149" s="17">
        <v>147.0</v>
      </c>
      <c r="B149" s="19" t="s">
        <v>881</v>
      </c>
      <c r="C149" s="17" t="s">
        <v>882</v>
      </c>
      <c r="D149" s="17" t="s">
        <v>883</v>
      </c>
      <c r="E149" s="19" t="s">
        <v>88</v>
      </c>
      <c r="F149" s="17" t="s">
        <v>355</v>
      </c>
      <c r="G149" s="17" t="s">
        <v>884</v>
      </c>
      <c r="H149" s="19">
        <v>9.979374474E9</v>
      </c>
      <c r="I149" s="19">
        <v>9.067593333E9</v>
      </c>
      <c r="J149" s="19" t="s">
        <v>33</v>
      </c>
      <c r="K149" s="19">
        <v>28000.0</v>
      </c>
      <c r="L149" s="20">
        <v>46722.0</v>
      </c>
      <c r="M149" s="19" t="s">
        <v>57</v>
      </c>
      <c r="N149" s="21" t="s">
        <v>58</v>
      </c>
      <c r="O149" s="19" t="s">
        <v>161</v>
      </c>
      <c r="P149" s="19" t="s">
        <v>60</v>
      </c>
      <c r="Q149" s="18" t="s">
        <v>38</v>
      </c>
      <c r="R149" s="19" t="s">
        <v>808</v>
      </c>
      <c r="S149" s="19" t="s">
        <v>659</v>
      </c>
      <c r="T149" s="22">
        <v>47062.0</v>
      </c>
      <c r="U149" s="19" t="s">
        <v>33</v>
      </c>
      <c r="V149" s="23">
        <v>46408.0</v>
      </c>
      <c r="W149" s="23">
        <v>49037.0</v>
      </c>
      <c r="X149" s="19">
        <v>39238.0</v>
      </c>
      <c r="Y149" s="19">
        <v>38000.0</v>
      </c>
      <c r="Z149" s="14">
        <f t="shared" si="1"/>
        <v>11037</v>
      </c>
      <c r="AA149" s="15">
        <f t="shared" si="2"/>
        <v>-1238</v>
      </c>
      <c r="AB149" s="19" t="s">
        <v>39</v>
      </c>
      <c r="AC149" s="17" t="s">
        <v>885</v>
      </c>
    </row>
    <row r="150">
      <c r="A150" s="17">
        <v>148.0</v>
      </c>
      <c r="B150" s="19" t="s">
        <v>881</v>
      </c>
      <c r="C150" s="17" t="s">
        <v>886</v>
      </c>
      <c r="D150" s="17" t="s">
        <v>887</v>
      </c>
      <c r="E150" s="19" t="s">
        <v>52</v>
      </c>
      <c r="F150" s="17" t="s">
        <v>826</v>
      </c>
      <c r="G150" s="17" t="s">
        <v>888</v>
      </c>
      <c r="H150" s="19">
        <v>9.879670142E9</v>
      </c>
      <c r="I150" s="19">
        <v>6.355836411E9</v>
      </c>
      <c r="J150" s="19" t="s">
        <v>105</v>
      </c>
      <c r="K150" s="19">
        <v>2620.0</v>
      </c>
      <c r="L150" s="20">
        <v>46722.0</v>
      </c>
      <c r="M150" s="19" t="s">
        <v>57</v>
      </c>
      <c r="N150" s="21" t="s">
        <v>58</v>
      </c>
      <c r="O150" s="19" t="s">
        <v>491</v>
      </c>
      <c r="P150" s="19" t="s">
        <v>60</v>
      </c>
      <c r="Q150" s="18" t="s">
        <v>38</v>
      </c>
      <c r="R150" s="19" t="s">
        <v>889</v>
      </c>
      <c r="S150" s="19" t="s">
        <v>33</v>
      </c>
      <c r="T150" s="19" t="s">
        <v>33</v>
      </c>
      <c r="U150" s="19" t="s">
        <v>33</v>
      </c>
      <c r="V150" s="23">
        <v>18366.0</v>
      </c>
      <c r="W150" s="23">
        <v>19574.0</v>
      </c>
      <c r="X150" s="19">
        <v>13066.0</v>
      </c>
      <c r="Y150" s="19">
        <v>13000.0</v>
      </c>
      <c r="Z150" s="14">
        <f t="shared" si="1"/>
        <v>6574</v>
      </c>
      <c r="AA150" s="15">
        <f t="shared" si="2"/>
        <v>-66</v>
      </c>
      <c r="AB150" s="19" t="s">
        <v>39</v>
      </c>
      <c r="AC150" s="17" t="s">
        <v>890</v>
      </c>
    </row>
    <row r="151">
      <c r="A151" s="17">
        <v>149.0</v>
      </c>
      <c r="B151" s="19" t="s">
        <v>881</v>
      </c>
      <c r="C151" s="17" t="s">
        <v>891</v>
      </c>
      <c r="D151" s="17" t="s">
        <v>892</v>
      </c>
      <c r="E151" s="19" t="s">
        <v>88</v>
      </c>
      <c r="F151" s="17" t="s">
        <v>276</v>
      </c>
      <c r="G151" s="17" t="s">
        <v>893</v>
      </c>
      <c r="H151" s="19" t="s">
        <v>894</v>
      </c>
      <c r="I151" s="19" t="s">
        <v>33</v>
      </c>
      <c r="J151" s="19" t="s">
        <v>33</v>
      </c>
      <c r="K151" s="19">
        <v>31000.0</v>
      </c>
      <c r="L151" s="20">
        <v>46722.0</v>
      </c>
      <c r="M151" s="19" t="s">
        <v>57</v>
      </c>
      <c r="N151" s="21" t="s">
        <v>58</v>
      </c>
      <c r="O151" s="19" t="s">
        <v>66</v>
      </c>
      <c r="P151" s="19" t="s">
        <v>60</v>
      </c>
      <c r="Q151" s="18" t="s">
        <v>38</v>
      </c>
      <c r="R151" s="22">
        <v>46181.0</v>
      </c>
      <c r="S151" s="19" t="s">
        <v>895</v>
      </c>
      <c r="T151" s="19" t="s">
        <v>519</v>
      </c>
      <c r="U151" s="19" t="s">
        <v>33</v>
      </c>
      <c r="V151" s="23">
        <v>50273.0</v>
      </c>
      <c r="W151" s="23">
        <v>53597.0</v>
      </c>
      <c r="X151" s="19">
        <v>42168.0</v>
      </c>
      <c r="Y151" s="19">
        <v>41000.0</v>
      </c>
      <c r="Z151" s="14">
        <f t="shared" si="1"/>
        <v>12597</v>
      </c>
      <c r="AA151" s="15">
        <f t="shared" si="2"/>
        <v>-1168</v>
      </c>
      <c r="AB151" s="19" t="s">
        <v>39</v>
      </c>
      <c r="AC151" s="17" t="s">
        <v>896</v>
      </c>
    </row>
    <row r="152">
      <c r="A152" s="17">
        <v>150.0</v>
      </c>
      <c r="B152" s="19" t="s">
        <v>881</v>
      </c>
      <c r="C152" s="17" t="s">
        <v>897</v>
      </c>
      <c r="D152" s="17" t="s">
        <v>898</v>
      </c>
      <c r="E152" s="19" t="s">
        <v>30</v>
      </c>
      <c r="F152" s="17" t="s">
        <v>899</v>
      </c>
      <c r="G152" s="17" t="s">
        <v>900</v>
      </c>
      <c r="H152" s="19">
        <v>9.016133128E9</v>
      </c>
      <c r="I152" s="19">
        <v>9.979226053E9</v>
      </c>
      <c r="J152" s="19" t="s">
        <v>33</v>
      </c>
      <c r="K152" s="19">
        <v>1248.0</v>
      </c>
      <c r="L152" s="19" t="s">
        <v>395</v>
      </c>
      <c r="M152" s="19" t="s">
        <v>839</v>
      </c>
      <c r="N152" s="21" t="s">
        <v>46</v>
      </c>
      <c r="O152" s="19" t="s">
        <v>129</v>
      </c>
      <c r="P152" s="19" t="s">
        <v>37</v>
      </c>
      <c r="Q152" s="18" t="s">
        <v>38</v>
      </c>
      <c r="R152" s="19" t="s">
        <v>901</v>
      </c>
      <c r="S152" s="25">
        <v>46305.0</v>
      </c>
      <c r="T152" s="19" t="s">
        <v>33</v>
      </c>
      <c r="U152" s="19" t="s">
        <v>33</v>
      </c>
      <c r="V152" s="23">
        <v>3466.0</v>
      </c>
      <c r="W152" s="23">
        <v>4090.0</v>
      </c>
      <c r="X152" s="19">
        <v>4000.0</v>
      </c>
      <c r="Y152" s="19">
        <v>4000.0</v>
      </c>
      <c r="Z152" s="14">
        <f t="shared" si="1"/>
        <v>90</v>
      </c>
      <c r="AA152" s="15">
        <f t="shared" si="2"/>
        <v>0</v>
      </c>
      <c r="AB152" s="19" t="s">
        <v>39</v>
      </c>
      <c r="AC152" s="17" t="s">
        <v>902</v>
      </c>
    </row>
    <row r="153">
      <c r="A153" s="17">
        <v>151.0</v>
      </c>
      <c r="B153" s="19" t="s">
        <v>881</v>
      </c>
      <c r="C153" s="17" t="s">
        <v>903</v>
      </c>
      <c r="D153" s="17" t="s">
        <v>904</v>
      </c>
      <c r="E153" s="19" t="s">
        <v>102</v>
      </c>
      <c r="F153" s="17" t="s">
        <v>111</v>
      </c>
      <c r="G153" s="17" t="s">
        <v>905</v>
      </c>
      <c r="H153" s="19">
        <v>6.355909525E9</v>
      </c>
      <c r="I153" s="19">
        <v>9.978525101E9</v>
      </c>
      <c r="J153" s="19" t="s">
        <v>105</v>
      </c>
      <c r="K153" s="19">
        <v>818.0</v>
      </c>
      <c r="L153" s="19" t="s">
        <v>395</v>
      </c>
      <c r="M153" s="19" t="s">
        <v>107</v>
      </c>
      <c r="N153" s="21" t="s">
        <v>58</v>
      </c>
      <c r="O153" s="19" t="s">
        <v>66</v>
      </c>
      <c r="P153" s="19" t="s">
        <v>60</v>
      </c>
      <c r="Q153" s="18" t="s">
        <v>38</v>
      </c>
      <c r="R153" s="19" t="s">
        <v>906</v>
      </c>
      <c r="S153" s="19" t="s">
        <v>907</v>
      </c>
      <c r="T153" s="19" t="s">
        <v>406</v>
      </c>
      <c r="U153" s="19" t="s">
        <v>33</v>
      </c>
      <c r="V153" s="19">
        <v>6344.0</v>
      </c>
      <c r="W153" s="19">
        <v>7486.0</v>
      </c>
      <c r="X153" s="19">
        <v>6500.0</v>
      </c>
      <c r="Y153" s="19">
        <v>6500.0</v>
      </c>
      <c r="Z153" s="10">
        <f t="shared" si="1"/>
        <v>986</v>
      </c>
      <c r="AA153" s="15">
        <f t="shared" si="2"/>
        <v>0</v>
      </c>
      <c r="AB153" s="19" t="s">
        <v>39</v>
      </c>
      <c r="AC153" s="17" t="s">
        <v>908</v>
      </c>
    </row>
    <row r="154">
      <c r="A154" s="17">
        <v>152.0</v>
      </c>
      <c r="B154" s="19" t="s">
        <v>881</v>
      </c>
      <c r="C154" s="17" t="s">
        <v>909</v>
      </c>
      <c r="D154" s="17" t="s">
        <v>910</v>
      </c>
      <c r="E154" s="19" t="s">
        <v>102</v>
      </c>
      <c r="F154" s="17" t="s">
        <v>111</v>
      </c>
      <c r="G154" s="17" t="s">
        <v>911</v>
      </c>
      <c r="H154" s="19">
        <v>9.77301785E9</v>
      </c>
      <c r="I154" s="19">
        <v>6.353372246E9</v>
      </c>
      <c r="J154" s="19" t="s">
        <v>105</v>
      </c>
      <c r="K154" s="19">
        <v>818.0</v>
      </c>
      <c r="L154" s="19" t="s">
        <v>838</v>
      </c>
      <c r="M154" s="19" t="s">
        <v>107</v>
      </c>
      <c r="N154" s="21" t="s">
        <v>58</v>
      </c>
      <c r="O154" s="19" t="s">
        <v>66</v>
      </c>
      <c r="P154" s="19" t="s">
        <v>60</v>
      </c>
      <c r="Q154" s="18" t="s">
        <v>38</v>
      </c>
      <c r="R154" s="19" t="s">
        <v>912</v>
      </c>
      <c r="S154" s="19" t="s">
        <v>913</v>
      </c>
      <c r="T154" s="19" t="s">
        <v>406</v>
      </c>
      <c r="U154" s="19" t="s">
        <v>33</v>
      </c>
      <c r="V154" s="23">
        <v>6390.0</v>
      </c>
      <c r="W154" s="19">
        <v>7540.0</v>
      </c>
      <c r="X154" s="19">
        <v>6500.0</v>
      </c>
      <c r="Y154" s="19">
        <v>6500.0</v>
      </c>
      <c r="Z154" s="10">
        <f t="shared" si="1"/>
        <v>1040</v>
      </c>
      <c r="AA154" s="15">
        <f t="shared" si="2"/>
        <v>0</v>
      </c>
      <c r="AB154" s="19" t="s">
        <v>39</v>
      </c>
      <c r="AC154" s="17" t="s">
        <v>914</v>
      </c>
    </row>
    <row r="155">
      <c r="A155" s="17">
        <v>153.0</v>
      </c>
      <c r="B155" s="19" t="s">
        <v>881</v>
      </c>
      <c r="C155" s="17" t="s">
        <v>915</v>
      </c>
      <c r="D155" s="17" t="s">
        <v>916</v>
      </c>
      <c r="E155" s="19" t="s">
        <v>102</v>
      </c>
      <c r="F155" s="17" t="s">
        <v>111</v>
      </c>
      <c r="G155" s="17" t="s">
        <v>917</v>
      </c>
      <c r="H155" s="19">
        <v>9.104747E9</v>
      </c>
      <c r="I155" s="19">
        <v>9.044447047E9</v>
      </c>
      <c r="J155" s="19" t="s">
        <v>33</v>
      </c>
      <c r="K155" s="19">
        <v>818.0</v>
      </c>
      <c r="L155" s="19" t="s">
        <v>757</v>
      </c>
      <c r="M155" s="19" t="s">
        <v>107</v>
      </c>
      <c r="N155" s="21" t="s">
        <v>58</v>
      </c>
      <c r="O155" s="19" t="s">
        <v>66</v>
      </c>
      <c r="P155" s="19" t="s">
        <v>60</v>
      </c>
      <c r="Q155" s="18" t="s">
        <v>38</v>
      </c>
      <c r="R155" s="19" t="s">
        <v>918</v>
      </c>
      <c r="S155" s="22">
        <v>46661.0</v>
      </c>
      <c r="T155" s="22">
        <v>46754.0</v>
      </c>
      <c r="U155" s="19" t="s">
        <v>33</v>
      </c>
      <c r="V155" s="19">
        <v>6282.0</v>
      </c>
      <c r="W155" s="19">
        <v>7413.0</v>
      </c>
      <c r="X155" s="19">
        <v>6500.0</v>
      </c>
      <c r="Y155" s="19">
        <v>6000.0</v>
      </c>
      <c r="Z155" s="10">
        <f t="shared" si="1"/>
        <v>1413</v>
      </c>
      <c r="AA155" s="15">
        <f t="shared" si="2"/>
        <v>-500</v>
      </c>
      <c r="AB155" s="19" t="s">
        <v>39</v>
      </c>
      <c r="AC155" s="17" t="s">
        <v>919</v>
      </c>
    </row>
    <row r="156">
      <c r="A156" s="17">
        <v>154.0</v>
      </c>
      <c r="B156" s="19" t="s">
        <v>881</v>
      </c>
      <c r="C156" s="17" t="s">
        <v>920</v>
      </c>
      <c r="D156" s="17" t="s">
        <v>921</v>
      </c>
      <c r="E156" s="19" t="s">
        <v>30</v>
      </c>
      <c r="F156" s="17" t="s">
        <v>922</v>
      </c>
      <c r="G156" s="17" t="s">
        <v>923</v>
      </c>
      <c r="H156" s="19">
        <v>9.727347864E9</v>
      </c>
      <c r="I156" s="19" t="s">
        <v>33</v>
      </c>
      <c r="J156" s="19" t="s">
        <v>33</v>
      </c>
      <c r="K156" s="19">
        <v>1086.0</v>
      </c>
      <c r="L156" s="51">
        <v>46662.0</v>
      </c>
      <c r="M156" s="19" t="s">
        <v>78</v>
      </c>
      <c r="N156" s="21" t="s">
        <v>46</v>
      </c>
      <c r="O156" s="19" t="s">
        <v>66</v>
      </c>
      <c r="P156" s="19" t="s">
        <v>37</v>
      </c>
      <c r="Q156" s="18" t="s">
        <v>38</v>
      </c>
      <c r="R156" s="25">
        <v>46305.0</v>
      </c>
      <c r="S156" s="19" t="s">
        <v>924</v>
      </c>
      <c r="T156" s="19" t="s">
        <v>33</v>
      </c>
      <c r="U156" s="19" t="s">
        <v>33</v>
      </c>
      <c r="V156" s="23">
        <v>3476.0</v>
      </c>
      <c r="W156" s="23">
        <v>4102.0</v>
      </c>
      <c r="X156" s="19">
        <v>4000.0</v>
      </c>
      <c r="Y156" s="19">
        <v>4000.0</v>
      </c>
      <c r="Z156" s="14">
        <f t="shared" si="1"/>
        <v>102</v>
      </c>
      <c r="AA156" s="15">
        <f t="shared" si="2"/>
        <v>0</v>
      </c>
      <c r="AB156" s="19"/>
      <c r="AC156" s="17" t="s">
        <v>925</v>
      </c>
    </row>
    <row r="157">
      <c r="A157" s="17">
        <v>155.0</v>
      </c>
      <c r="B157" s="19" t="s">
        <v>881</v>
      </c>
      <c r="C157" s="17" t="s">
        <v>926</v>
      </c>
      <c r="D157" s="17" t="s">
        <v>927</v>
      </c>
      <c r="E157" s="19" t="s">
        <v>102</v>
      </c>
      <c r="F157" s="17" t="s">
        <v>111</v>
      </c>
      <c r="G157" s="17" t="s">
        <v>928</v>
      </c>
      <c r="H157" s="19">
        <v>9.016933496E9</v>
      </c>
      <c r="I157" s="19" t="s">
        <v>33</v>
      </c>
      <c r="J157" s="19" t="s">
        <v>33</v>
      </c>
      <c r="K157" s="19">
        <v>818.0</v>
      </c>
      <c r="L157" s="20">
        <v>46722.0</v>
      </c>
      <c r="M157" s="19" t="s">
        <v>107</v>
      </c>
      <c r="N157" s="21" t="s">
        <v>58</v>
      </c>
      <c r="O157" s="19" t="s">
        <v>36</v>
      </c>
      <c r="P157" s="19" t="s">
        <v>60</v>
      </c>
      <c r="Q157" s="18" t="s">
        <v>38</v>
      </c>
      <c r="R157" s="19" t="s">
        <v>929</v>
      </c>
      <c r="S157" s="22">
        <v>46600.0</v>
      </c>
      <c r="T157" s="19" t="s">
        <v>33</v>
      </c>
      <c r="U157" s="19" t="s">
        <v>33</v>
      </c>
      <c r="V157" s="24">
        <v>7263.0</v>
      </c>
      <c r="W157" s="24">
        <v>8571.0</v>
      </c>
      <c r="X157" s="19">
        <v>7500.0</v>
      </c>
      <c r="Y157" s="19">
        <v>7500.0</v>
      </c>
      <c r="Z157" s="15">
        <f t="shared" si="1"/>
        <v>1071</v>
      </c>
      <c r="AA157" s="15">
        <f t="shared" si="2"/>
        <v>0</v>
      </c>
      <c r="AB157" s="19" t="s">
        <v>39</v>
      </c>
      <c r="AC157" s="17" t="s">
        <v>930</v>
      </c>
    </row>
    <row r="158">
      <c r="A158" s="17">
        <v>156.0</v>
      </c>
      <c r="B158" s="19" t="s">
        <v>881</v>
      </c>
      <c r="C158" s="17" t="s">
        <v>931</v>
      </c>
      <c r="D158" s="17" t="s">
        <v>932</v>
      </c>
      <c r="E158" s="19" t="s">
        <v>102</v>
      </c>
      <c r="F158" s="17" t="s">
        <v>111</v>
      </c>
      <c r="G158" s="17" t="s">
        <v>933</v>
      </c>
      <c r="H158" s="19">
        <v>8.469437692E9</v>
      </c>
      <c r="I158" s="19">
        <v>9.427678604E9</v>
      </c>
      <c r="J158" s="19" t="s">
        <v>105</v>
      </c>
      <c r="K158" s="19">
        <v>818.0</v>
      </c>
      <c r="L158" s="20">
        <v>46722.0</v>
      </c>
      <c r="M158" s="19" t="s">
        <v>107</v>
      </c>
      <c r="N158" s="21" t="s">
        <v>58</v>
      </c>
      <c r="O158" s="19" t="s">
        <v>66</v>
      </c>
      <c r="P158" s="19" t="s">
        <v>60</v>
      </c>
      <c r="Q158" s="18" t="s">
        <v>38</v>
      </c>
      <c r="R158" s="22">
        <v>46143.0</v>
      </c>
      <c r="S158" s="22">
        <v>46722.0</v>
      </c>
      <c r="T158" s="22">
        <v>47423.0</v>
      </c>
      <c r="U158" s="19" t="s">
        <v>33</v>
      </c>
      <c r="V158" s="23">
        <v>6390.0</v>
      </c>
      <c r="W158" s="23">
        <v>7540.0</v>
      </c>
      <c r="X158" s="19">
        <v>6500.0</v>
      </c>
      <c r="Y158" s="19">
        <v>6500.0</v>
      </c>
      <c r="Z158" s="14">
        <f t="shared" si="1"/>
        <v>1040</v>
      </c>
      <c r="AA158" s="15">
        <f t="shared" si="2"/>
        <v>0</v>
      </c>
      <c r="AB158" s="19" t="s">
        <v>39</v>
      </c>
      <c r="AC158" s="17" t="s">
        <v>934</v>
      </c>
    </row>
    <row r="159">
      <c r="A159" s="17">
        <v>157.0</v>
      </c>
      <c r="B159" s="19" t="s">
        <v>881</v>
      </c>
      <c r="C159" s="17" t="s">
        <v>935</v>
      </c>
      <c r="D159" s="17" t="s">
        <v>936</v>
      </c>
      <c r="E159" s="19" t="s">
        <v>52</v>
      </c>
      <c r="F159" s="17" t="s">
        <v>937</v>
      </c>
      <c r="G159" s="17" t="s">
        <v>938</v>
      </c>
      <c r="H159" s="19">
        <v>9.825051721E9</v>
      </c>
      <c r="I159" s="19">
        <v>8.485993847E9</v>
      </c>
      <c r="J159" s="19" t="s">
        <v>33</v>
      </c>
      <c r="K159" s="19">
        <v>2850.0</v>
      </c>
      <c r="L159" s="20">
        <v>46722.0</v>
      </c>
      <c r="M159" s="19" t="s">
        <v>57</v>
      </c>
      <c r="N159" s="21" t="s">
        <v>58</v>
      </c>
      <c r="O159" s="19" t="s">
        <v>66</v>
      </c>
      <c r="P159" s="19" t="s">
        <v>79</v>
      </c>
      <c r="Q159" s="18" t="s">
        <v>38</v>
      </c>
      <c r="R159" s="19" t="s">
        <v>939</v>
      </c>
      <c r="S159" s="19" t="s">
        <v>940</v>
      </c>
      <c r="T159" s="19" t="s">
        <v>33</v>
      </c>
      <c r="U159" s="19" t="s">
        <v>33</v>
      </c>
      <c r="V159" s="23">
        <v>21381.0</v>
      </c>
      <c r="W159" s="23">
        <v>23131.0</v>
      </c>
      <c r="X159" s="19">
        <v>16184.0</v>
      </c>
      <c r="Y159" s="19">
        <v>15000.0</v>
      </c>
      <c r="Z159" s="14">
        <f t="shared" si="1"/>
        <v>8131</v>
      </c>
      <c r="AA159" s="15">
        <f t="shared" si="2"/>
        <v>-1184</v>
      </c>
      <c r="AB159" s="19" t="s">
        <v>39</v>
      </c>
      <c r="AC159" s="17" t="s">
        <v>941</v>
      </c>
    </row>
    <row r="160">
      <c r="A160" s="17">
        <v>158.0</v>
      </c>
      <c r="B160" s="19" t="s">
        <v>881</v>
      </c>
      <c r="C160" s="17" t="s">
        <v>942</v>
      </c>
      <c r="D160" s="17" t="s">
        <v>943</v>
      </c>
      <c r="E160" s="19" t="s">
        <v>52</v>
      </c>
      <c r="F160" s="17" t="s">
        <v>826</v>
      </c>
      <c r="G160" s="17" t="s">
        <v>944</v>
      </c>
      <c r="H160" s="19">
        <v>6.353783411E9</v>
      </c>
      <c r="I160" s="19">
        <v>9.978820884E9</v>
      </c>
      <c r="J160" s="19" t="s">
        <v>33</v>
      </c>
      <c r="K160" s="19">
        <v>2620.0</v>
      </c>
      <c r="L160" s="20">
        <v>46722.0</v>
      </c>
      <c r="M160" s="19" t="s">
        <v>57</v>
      </c>
      <c r="N160" s="21" t="s">
        <v>58</v>
      </c>
      <c r="O160" s="19" t="s">
        <v>66</v>
      </c>
      <c r="P160" s="19" t="s">
        <v>79</v>
      </c>
      <c r="Q160" s="18" t="s">
        <v>38</v>
      </c>
      <c r="R160" s="19" t="s">
        <v>557</v>
      </c>
      <c r="S160" s="22">
        <v>46003.0</v>
      </c>
      <c r="T160" s="19" t="s">
        <v>33</v>
      </c>
      <c r="U160" s="19" t="s">
        <v>33</v>
      </c>
      <c r="V160" s="23">
        <v>18616.0</v>
      </c>
      <c r="W160" s="23">
        <v>19870.0</v>
      </c>
      <c r="X160" s="19">
        <v>14223.0</v>
      </c>
      <c r="Y160" s="19">
        <v>14000.0</v>
      </c>
      <c r="Z160" s="14">
        <f t="shared" si="1"/>
        <v>5870</v>
      </c>
      <c r="AA160" s="15">
        <f t="shared" si="2"/>
        <v>-223</v>
      </c>
      <c r="AB160" s="19" t="s">
        <v>39</v>
      </c>
      <c r="AC160" s="17" t="s">
        <v>945</v>
      </c>
    </row>
    <row r="161">
      <c r="A161" s="17">
        <v>159.0</v>
      </c>
      <c r="B161" s="19" t="s">
        <v>881</v>
      </c>
      <c r="C161" s="17" t="s">
        <v>946</v>
      </c>
      <c r="D161" s="17" t="s">
        <v>947</v>
      </c>
      <c r="E161" s="19" t="s">
        <v>88</v>
      </c>
      <c r="F161" s="17" t="s">
        <v>948</v>
      </c>
      <c r="G161" s="17" t="s">
        <v>949</v>
      </c>
      <c r="H161" s="19">
        <v>9.428277711E9</v>
      </c>
      <c r="I161" s="19">
        <v>9.537704952E9</v>
      </c>
      <c r="J161" s="19" t="s">
        <v>33</v>
      </c>
      <c r="K161" s="19">
        <v>28000.0</v>
      </c>
      <c r="L161" s="19" t="s">
        <v>757</v>
      </c>
      <c r="M161" s="19" t="s">
        <v>92</v>
      </c>
      <c r="N161" s="21" t="s">
        <v>46</v>
      </c>
      <c r="O161" s="19" t="s">
        <v>66</v>
      </c>
      <c r="P161" s="19" t="s">
        <v>79</v>
      </c>
      <c r="Q161" s="18" t="s">
        <v>38</v>
      </c>
      <c r="R161" s="22">
        <v>46358.0</v>
      </c>
      <c r="S161" s="19" t="s">
        <v>475</v>
      </c>
      <c r="T161" s="19" t="s">
        <v>950</v>
      </c>
      <c r="U161" s="19" t="s">
        <v>33</v>
      </c>
      <c r="V161" s="23">
        <v>44050.0</v>
      </c>
      <c r="W161" s="23">
        <v>46266.0</v>
      </c>
      <c r="X161" s="19">
        <v>29000.0</v>
      </c>
      <c r="Y161" s="19">
        <v>27500.0</v>
      </c>
      <c r="Z161" s="14">
        <f t="shared" si="1"/>
        <v>18766</v>
      </c>
      <c r="AA161" s="15">
        <f t="shared" si="2"/>
        <v>-1500</v>
      </c>
      <c r="AB161" s="19" t="s">
        <v>39</v>
      </c>
      <c r="AC161" s="17" t="s">
        <v>951</v>
      </c>
    </row>
    <row r="162">
      <c r="A162" s="17">
        <v>160.0</v>
      </c>
      <c r="B162" s="19" t="s">
        <v>881</v>
      </c>
      <c r="C162" s="17" t="s">
        <v>952</v>
      </c>
      <c r="D162" s="17" t="s">
        <v>953</v>
      </c>
      <c r="E162" s="19" t="s">
        <v>167</v>
      </c>
      <c r="F162" s="17" t="s">
        <v>954</v>
      </c>
      <c r="G162" s="17" t="s">
        <v>955</v>
      </c>
      <c r="H162" s="19" t="s">
        <v>956</v>
      </c>
      <c r="I162" s="19" t="s">
        <v>957</v>
      </c>
      <c r="J162" s="19" t="s">
        <v>33</v>
      </c>
      <c r="K162" s="19">
        <v>882.0</v>
      </c>
      <c r="L162" s="19" t="s">
        <v>757</v>
      </c>
      <c r="M162" s="19" t="s">
        <v>152</v>
      </c>
      <c r="N162" s="21" t="s">
        <v>58</v>
      </c>
      <c r="O162" s="19" t="s">
        <v>958</v>
      </c>
      <c r="P162" s="19" t="s">
        <v>79</v>
      </c>
      <c r="Q162" s="18" t="s">
        <v>38</v>
      </c>
      <c r="R162" s="22">
        <v>46334.0</v>
      </c>
      <c r="S162" s="22">
        <v>45969.0</v>
      </c>
      <c r="T162" s="19" t="s">
        <v>33</v>
      </c>
      <c r="U162" s="19" t="s">
        <v>33</v>
      </c>
      <c r="V162" s="23">
        <v>5447.28</v>
      </c>
      <c r="W162" s="23">
        <v>5844.0</v>
      </c>
      <c r="X162" s="19">
        <v>5000.0</v>
      </c>
      <c r="Y162" s="19">
        <v>4700.0</v>
      </c>
      <c r="Z162" s="14">
        <f t="shared" si="1"/>
        <v>1144</v>
      </c>
      <c r="AA162" s="15">
        <f t="shared" si="2"/>
        <v>-300</v>
      </c>
      <c r="AB162" s="19" t="s">
        <v>39</v>
      </c>
      <c r="AC162" s="17" t="s">
        <v>959</v>
      </c>
    </row>
    <row r="163">
      <c r="A163" s="17">
        <v>161.0</v>
      </c>
      <c r="B163" s="19" t="s">
        <v>881</v>
      </c>
      <c r="C163" s="17" t="s">
        <v>960</v>
      </c>
      <c r="D163" s="17" t="s">
        <v>961</v>
      </c>
      <c r="E163" s="19" t="s">
        <v>52</v>
      </c>
      <c r="F163" s="17" t="s">
        <v>962</v>
      </c>
      <c r="G163" s="17" t="s">
        <v>963</v>
      </c>
      <c r="H163" s="19">
        <v>8.320474401E9</v>
      </c>
      <c r="I163" s="19">
        <v>7.203062659E9</v>
      </c>
      <c r="J163" s="19" t="s">
        <v>33</v>
      </c>
      <c r="K163" s="19">
        <v>3460.0</v>
      </c>
      <c r="L163" s="20">
        <v>46722.0</v>
      </c>
      <c r="M163" s="19" t="s">
        <v>92</v>
      </c>
      <c r="N163" s="21" t="s">
        <v>58</v>
      </c>
      <c r="O163" s="19" t="s">
        <v>66</v>
      </c>
      <c r="P163" s="19" t="s">
        <v>60</v>
      </c>
      <c r="Q163" s="18" t="s">
        <v>38</v>
      </c>
      <c r="R163" s="22">
        <v>47058.0</v>
      </c>
      <c r="S163" s="19" t="s">
        <v>964</v>
      </c>
      <c r="T163" s="19" t="s">
        <v>965</v>
      </c>
      <c r="U163" s="19" t="s">
        <v>33</v>
      </c>
      <c r="V163" s="24">
        <v>21708.0</v>
      </c>
      <c r="W163" s="24">
        <v>23529.0</v>
      </c>
      <c r="X163" s="19">
        <v>16090.0</v>
      </c>
      <c r="Y163" s="19">
        <v>16000.0</v>
      </c>
      <c r="Z163" s="15">
        <f t="shared" si="1"/>
        <v>7529</v>
      </c>
      <c r="AA163" s="15">
        <f t="shared" si="2"/>
        <v>-90</v>
      </c>
      <c r="AB163" s="19" t="s">
        <v>39</v>
      </c>
      <c r="AC163" s="17" t="s">
        <v>966</v>
      </c>
    </row>
    <row r="164">
      <c r="A164" s="17">
        <v>162.0</v>
      </c>
      <c r="B164" s="19" t="s">
        <v>881</v>
      </c>
      <c r="C164" s="17" t="s">
        <v>967</v>
      </c>
      <c r="D164" s="17" t="s">
        <v>968</v>
      </c>
      <c r="E164" s="19" t="s">
        <v>269</v>
      </c>
      <c r="F164" s="17" t="s">
        <v>969</v>
      </c>
      <c r="G164" s="17" t="s">
        <v>970</v>
      </c>
      <c r="H164" s="19">
        <v>9.723754448E9</v>
      </c>
      <c r="I164" s="19" t="s">
        <v>33</v>
      </c>
      <c r="J164" s="19" t="s">
        <v>33</v>
      </c>
      <c r="K164" s="19">
        <v>11990.0</v>
      </c>
      <c r="L164" s="19" t="s">
        <v>757</v>
      </c>
      <c r="M164" s="19" t="s">
        <v>619</v>
      </c>
      <c r="N164" s="21" t="s">
        <v>46</v>
      </c>
      <c r="O164" s="19" t="s">
        <v>198</v>
      </c>
      <c r="P164" s="19" t="s">
        <v>971</v>
      </c>
      <c r="Q164" s="18" t="s">
        <v>38</v>
      </c>
      <c r="R164" s="19" t="s">
        <v>692</v>
      </c>
      <c r="S164" s="19" t="s">
        <v>972</v>
      </c>
      <c r="T164" s="19" t="s">
        <v>973</v>
      </c>
      <c r="U164" s="19" t="s">
        <v>33</v>
      </c>
      <c r="V164" s="19">
        <v>27561.0</v>
      </c>
      <c r="W164" s="19">
        <v>28989.0</v>
      </c>
      <c r="X164" s="19">
        <v>20000.0</v>
      </c>
      <c r="Y164" s="19">
        <v>19500.0</v>
      </c>
      <c r="Z164" s="10">
        <f t="shared" si="1"/>
        <v>9489</v>
      </c>
      <c r="AA164" s="15">
        <f t="shared" si="2"/>
        <v>-500</v>
      </c>
      <c r="AB164" s="19" t="s">
        <v>39</v>
      </c>
      <c r="AC164" s="47" t="s">
        <v>974</v>
      </c>
    </row>
    <row r="165">
      <c r="A165" s="17">
        <v>163.0</v>
      </c>
      <c r="B165" s="19" t="s">
        <v>881</v>
      </c>
      <c r="C165" s="17" t="s">
        <v>975</v>
      </c>
      <c r="D165" s="17" t="s">
        <v>976</v>
      </c>
      <c r="E165" s="19" t="s">
        <v>52</v>
      </c>
      <c r="F165" s="17" t="s">
        <v>216</v>
      </c>
      <c r="G165" s="17" t="s">
        <v>977</v>
      </c>
      <c r="H165" s="19">
        <v>8.849813294E9</v>
      </c>
      <c r="I165" s="19">
        <v>9.979529209E9</v>
      </c>
      <c r="J165" s="19" t="s">
        <v>33</v>
      </c>
      <c r="K165" s="19">
        <v>3460.0</v>
      </c>
      <c r="L165" s="19" t="s">
        <v>838</v>
      </c>
      <c r="M165" s="19" t="s">
        <v>57</v>
      </c>
      <c r="N165" s="21" t="s">
        <v>58</v>
      </c>
      <c r="O165" s="19" t="s">
        <v>153</v>
      </c>
      <c r="P165" s="19" t="s">
        <v>60</v>
      </c>
      <c r="Q165" s="18" t="s">
        <v>38</v>
      </c>
      <c r="R165" s="19" t="s">
        <v>978</v>
      </c>
      <c r="S165" s="19" t="s">
        <v>114</v>
      </c>
      <c r="T165" s="22">
        <v>47636.0</v>
      </c>
      <c r="U165" s="19" t="s">
        <v>33</v>
      </c>
      <c r="V165" s="23">
        <v>21465.0</v>
      </c>
      <c r="W165" s="23">
        <v>23231.0</v>
      </c>
      <c r="X165" s="19">
        <v>15011.0</v>
      </c>
      <c r="Y165" s="19">
        <v>15000.0</v>
      </c>
      <c r="Z165" s="14">
        <f t="shared" si="1"/>
        <v>8231</v>
      </c>
      <c r="AA165" s="15">
        <f t="shared" si="2"/>
        <v>-11</v>
      </c>
      <c r="AB165" s="19" t="s">
        <v>39</v>
      </c>
      <c r="AC165" s="17" t="s">
        <v>979</v>
      </c>
    </row>
    <row r="166">
      <c r="A166" s="17">
        <v>164.0</v>
      </c>
      <c r="B166" s="19" t="s">
        <v>980</v>
      </c>
      <c r="C166" s="17" t="s">
        <v>981</v>
      </c>
      <c r="D166" s="17" t="s">
        <v>982</v>
      </c>
      <c r="E166" s="19" t="s">
        <v>88</v>
      </c>
      <c r="F166" s="17" t="s">
        <v>948</v>
      </c>
      <c r="G166" s="17" t="s">
        <v>983</v>
      </c>
      <c r="H166" s="19" t="s">
        <v>984</v>
      </c>
      <c r="I166" s="19">
        <v>9.712427382E9</v>
      </c>
      <c r="J166" s="19" t="s">
        <v>33</v>
      </c>
      <c r="K166" s="19">
        <v>16200.0</v>
      </c>
      <c r="L166" s="19" t="s">
        <v>838</v>
      </c>
      <c r="M166" s="19" t="s">
        <v>92</v>
      </c>
      <c r="N166" s="21" t="s">
        <v>46</v>
      </c>
      <c r="O166" s="19" t="s">
        <v>129</v>
      </c>
      <c r="P166" s="19" t="s">
        <v>79</v>
      </c>
      <c r="Q166" s="18" t="s">
        <v>38</v>
      </c>
      <c r="R166" s="22">
        <v>45901.0</v>
      </c>
      <c r="S166" s="22">
        <v>45845.0</v>
      </c>
      <c r="T166" s="19" t="s">
        <v>985</v>
      </c>
      <c r="U166" s="19" t="s">
        <v>33</v>
      </c>
      <c r="V166" s="19">
        <v>35413.0</v>
      </c>
      <c r="W166" s="19">
        <v>37197.0</v>
      </c>
      <c r="X166" s="19">
        <v>24000.0</v>
      </c>
      <c r="Y166" s="19">
        <v>24500.0</v>
      </c>
      <c r="Z166" s="10">
        <f t="shared" si="1"/>
        <v>12697</v>
      </c>
      <c r="AA166" s="15">
        <f t="shared" si="2"/>
        <v>500</v>
      </c>
      <c r="AB166" s="19" t="s">
        <v>39</v>
      </c>
      <c r="AC166" s="17" t="s">
        <v>986</v>
      </c>
    </row>
    <row r="167">
      <c r="A167" s="17">
        <v>165.0</v>
      </c>
      <c r="B167" s="19" t="s">
        <v>980</v>
      </c>
      <c r="C167" s="17" t="s">
        <v>987</v>
      </c>
      <c r="D167" s="17" t="s">
        <v>988</v>
      </c>
      <c r="E167" s="19" t="s">
        <v>88</v>
      </c>
      <c r="F167" s="17" t="s">
        <v>989</v>
      </c>
      <c r="G167" s="17" t="s">
        <v>990</v>
      </c>
      <c r="H167" s="19">
        <v>9.6389808E9</v>
      </c>
      <c r="I167" s="19" t="s">
        <v>991</v>
      </c>
      <c r="J167" s="19" t="s">
        <v>33</v>
      </c>
      <c r="K167" s="24">
        <v>16200.0</v>
      </c>
      <c r="L167" s="19" t="s">
        <v>838</v>
      </c>
      <c r="M167" s="19" t="s">
        <v>591</v>
      </c>
      <c r="N167" s="21" t="s">
        <v>46</v>
      </c>
      <c r="O167" s="19" t="s">
        <v>66</v>
      </c>
      <c r="P167" s="19" t="s">
        <v>79</v>
      </c>
      <c r="Q167" s="18" t="s">
        <v>38</v>
      </c>
      <c r="R167" s="22">
        <v>46144.0</v>
      </c>
      <c r="S167" s="22">
        <v>45785.0</v>
      </c>
      <c r="T167" s="19" t="s">
        <v>992</v>
      </c>
      <c r="U167" s="19" t="s">
        <v>33</v>
      </c>
      <c r="V167" s="23">
        <v>35413.0</v>
      </c>
      <c r="W167" s="23">
        <v>37196.66</v>
      </c>
      <c r="X167" s="19">
        <v>26500.0</v>
      </c>
      <c r="Y167" s="19">
        <v>26500.0</v>
      </c>
      <c r="Z167" s="14">
        <f t="shared" si="1"/>
        <v>10696.66</v>
      </c>
      <c r="AA167" s="15">
        <f t="shared" si="2"/>
        <v>0</v>
      </c>
      <c r="AB167" s="19" t="s">
        <v>39</v>
      </c>
      <c r="AC167" s="17" t="s">
        <v>993</v>
      </c>
    </row>
    <row r="168">
      <c r="A168" s="17">
        <v>166.0</v>
      </c>
      <c r="B168" s="19" t="s">
        <v>980</v>
      </c>
      <c r="C168" s="17" t="s">
        <v>994</v>
      </c>
      <c r="D168" s="17" t="s">
        <v>995</v>
      </c>
      <c r="E168" s="19" t="s">
        <v>167</v>
      </c>
      <c r="F168" s="17" t="s">
        <v>996</v>
      </c>
      <c r="G168" s="17" t="s">
        <v>997</v>
      </c>
      <c r="H168" s="19">
        <v>9.638673152E9</v>
      </c>
      <c r="I168" s="19">
        <v>9.328512465E9</v>
      </c>
      <c r="J168" s="19" t="s">
        <v>998</v>
      </c>
      <c r="K168" s="19">
        <v>990.0</v>
      </c>
      <c r="L168" s="19" t="s">
        <v>838</v>
      </c>
      <c r="M168" s="19" t="s">
        <v>152</v>
      </c>
      <c r="N168" s="21" t="s">
        <v>58</v>
      </c>
      <c r="O168" s="19" t="s">
        <v>59</v>
      </c>
      <c r="P168" s="19" t="s">
        <v>79</v>
      </c>
      <c r="Q168" s="18" t="s">
        <v>38</v>
      </c>
      <c r="R168" s="22">
        <v>44443.0</v>
      </c>
      <c r="S168" s="22">
        <v>46333.0</v>
      </c>
      <c r="T168" s="19" t="s">
        <v>33</v>
      </c>
      <c r="U168" s="19" t="s">
        <v>33</v>
      </c>
      <c r="V168" s="23">
        <v>4977.67</v>
      </c>
      <c r="W168" s="23">
        <v>5289.69</v>
      </c>
      <c r="X168" s="19">
        <v>5000.0</v>
      </c>
      <c r="Y168" s="19">
        <v>5000.0</v>
      </c>
      <c r="Z168" s="14">
        <f t="shared" si="1"/>
        <v>289.69</v>
      </c>
      <c r="AA168" s="15">
        <f t="shared" si="2"/>
        <v>0</v>
      </c>
      <c r="AB168" s="19" t="s">
        <v>39</v>
      </c>
      <c r="AC168" s="17" t="s">
        <v>999</v>
      </c>
    </row>
    <row r="169">
      <c r="A169" s="17">
        <v>167.0</v>
      </c>
      <c r="B169" s="19" t="s">
        <v>980</v>
      </c>
      <c r="C169" s="17" t="s">
        <v>1000</v>
      </c>
      <c r="D169" s="17" t="s">
        <v>1001</v>
      </c>
      <c r="E169" s="19" t="s">
        <v>88</v>
      </c>
      <c r="F169" s="17" t="s">
        <v>276</v>
      </c>
      <c r="G169" s="17" t="s">
        <v>1002</v>
      </c>
      <c r="H169" s="19" t="s">
        <v>1003</v>
      </c>
      <c r="I169" s="19">
        <v>8.140411111E9</v>
      </c>
      <c r="J169" s="19" t="s">
        <v>33</v>
      </c>
      <c r="K169" s="19">
        <v>35000.0</v>
      </c>
      <c r="L169" s="19" t="s">
        <v>838</v>
      </c>
      <c r="M169" s="19" t="s">
        <v>57</v>
      </c>
      <c r="N169" s="21" t="s">
        <v>58</v>
      </c>
      <c r="O169" s="19" t="s">
        <v>66</v>
      </c>
      <c r="P169" s="19" t="s">
        <v>60</v>
      </c>
      <c r="Q169" s="18" t="s">
        <v>38</v>
      </c>
      <c r="R169" s="22">
        <v>46205.0</v>
      </c>
      <c r="S169" s="22">
        <v>46054.0</v>
      </c>
      <c r="T169" s="22">
        <v>47665.0</v>
      </c>
      <c r="U169" s="19" t="s">
        <v>33</v>
      </c>
      <c r="V169" s="23">
        <v>47190.0</v>
      </c>
      <c r="W169" s="23">
        <v>49957.0</v>
      </c>
      <c r="X169" s="19">
        <v>39898.0</v>
      </c>
      <c r="Y169" s="19">
        <v>39000.0</v>
      </c>
      <c r="Z169" s="14">
        <f t="shared" si="1"/>
        <v>10957</v>
      </c>
      <c r="AA169" s="15">
        <f t="shared" si="2"/>
        <v>-898</v>
      </c>
      <c r="AB169" s="19" t="s">
        <v>39</v>
      </c>
      <c r="AC169" s="17" t="s">
        <v>1004</v>
      </c>
    </row>
    <row r="170">
      <c r="A170" s="26">
        <v>168.0</v>
      </c>
      <c r="B170" s="19" t="s">
        <v>980</v>
      </c>
      <c r="C170" s="17" t="s">
        <v>1005</v>
      </c>
      <c r="D170" s="18">
        <v>4.4199953E7</v>
      </c>
      <c r="E170" s="19" t="s">
        <v>88</v>
      </c>
      <c r="F170" s="17" t="s">
        <v>1006</v>
      </c>
      <c r="G170" s="17" t="s">
        <v>1007</v>
      </c>
      <c r="H170" s="19">
        <v>9.979078037E9</v>
      </c>
      <c r="I170" s="19" t="s">
        <v>33</v>
      </c>
      <c r="J170" s="19" t="s">
        <v>33</v>
      </c>
      <c r="K170" s="19">
        <v>31000.0</v>
      </c>
      <c r="L170" s="19" t="s">
        <v>1008</v>
      </c>
      <c r="M170" s="19" t="s">
        <v>152</v>
      </c>
      <c r="N170" s="21" t="s">
        <v>58</v>
      </c>
      <c r="O170" s="19" t="s">
        <v>66</v>
      </c>
      <c r="P170" s="19" t="s">
        <v>60</v>
      </c>
      <c r="Q170" s="18" t="s">
        <v>38</v>
      </c>
      <c r="R170" s="22">
        <v>46606.0</v>
      </c>
      <c r="S170" s="19" t="s">
        <v>692</v>
      </c>
      <c r="T170" s="19" t="s">
        <v>1009</v>
      </c>
      <c r="U170" s="19" t="s">
        <v>33</v>
      </c>
      <c r="V170" s="23">
        <v>48764.5</v>
      </c>
      <c r="W170" s="23">
        <v>51829.0</v>
      </c>
      <c r="X170" s="19">
        <v>41728.0</v>
      </c>
      <c r="Y170" s="19">
        <v>42500.0</v>
      </c>
      <c r="Z170" s="14">
        <f t="shared" si="1"/>
        <v>9329</v>
      </c>
      <c r="AA170" s="15">
        <f t="shared" si="2"/>
        <v>772</v>
      </c>
      <c r="AB170" s="19" t="s">
        <v>39</v>
      </c>
      <c r="AC170" s="17" t="s">
        <v>1010</v>
      </c>
    </row>
    <row r="171">
      <c r="A171" s="17">
        <v>169.0</v>
      </c>
      <c r="B171" s="19" t="s">
        <v>1011</v>
      </c>
      <c r="C171" s="17" t="s">
        <v>1012</v>
      </c>
      <c r="D171" s="17" t="s">
        <v>1013</v>
      </c>
      <c r="E171" s="19" t="s">
        <v>52</v>
      </c>
      <c r="F171" s="17" t="s">
        <v>1014</v>
      </c>
      <c r="G171" s="17" t="s">
        <v>1015</v>
      </c>
      <c r="H171" s="19">
        <v>9.727321233E9</v>
      </c>
      <c r="I171" s="19">
        <v>8.320285477E9</v>
      </c>
      <c r="J171" s="19" t="s">
        <v>33</v>
      </c>
      <c r="K171" s="19">
        <v>2620.0</v>
      </c>
      <c r="L171" s="19" t="s">
        <v>838</v>
      </c>
      <c r="M171" s="19" t="s">
        <v>57</v>
      </c>
      <c r="N171" s="21" t="s">
        <v>58</v>
      </c>
      <c r="O171" s="19" t="s">
        <v>431</v>
      </c>
      <c r="P171" s="19" t="s">
        <v>60</v>
      </c>
      <c r="Q171" s="18" t="s">
        <v>38</v>
      </c>
      <c r="R171" s="22">
        <v>46272.0</v>
      </c>
      <c r="S171" s="19" t="s">
        <v>279</v>
      </c>
      <c r="T171" s="19" t="s">
        <v>33</v>
      </c>
      <c r="U171" s="19" t="s">
        <v>33</v>
      </c>
      <c r="V171" s="23">
        <v>18019.0</v>
      </c>
      <c r="W171" s="23">
        <v>19166.0</v>
      </c>
      <c r="X171" s="19">
        <v>12873.0</v>
      </c>
      <c r="Y171" s="19">
        <v>13000.0</v>
      </c>
      <c r="Z171" s="14">
        <f t="shared" si="1"/>
        <v>6166</v>
      </c>
      <c r="AA171" s="15">
        <f t="shared" si="2"/>
        <v>127</v>
      </c>
      <c r="AB171" s="19" t="s">
        <v>39</v>
      </c>
      <c r="AC171" s="17" t="s">
        <v>1016</v>
      </c>
    </row>
    <row r="172">
      <c r="A172" s="17">
        <v>170.0</v>
      </c>
      <c r="B172" s="19" t="s">
        <v>1011</v>
      </c>
      <c r="C172" s="17" t="s">
        <v>1017</v>
      </c>
      <c r="D172" s="17" t="s">
        <v>1018</v>
      </c>
      <c r="E172" s="19" t="s">
        <v>102</v>
      </c>
      <c r="F172" s="17" t="s">
        <v>111</v>
      </c>
      <c r="G172" s="17" t="s">
        <v>1019</v>
      </c>
      <c r="H172" s="19">
        <v>9.725168721E9</v>
      </c>
      <c r="I172" s="19">
        <v>9.904807216E9</v>
      </c>
      <c r="J172" s="19" t="s">
        <v>105</v>
      </c>
      <c r="K172" s="19">
        <v>818.0</v>
      </c>
      <c r="L172" s="19" t="s">
        <v>1020</v>
      </c>
      <c r="M172" s="19" t="s">
        <v>107</v>
      </c>
      <c r="N172" s="21" t="s">
        <v>58</v>
      </c>
      <c r="O172" s="19" t="s">
        <v>66</v>
      </c>
      <c r="P172" s="19" t="s">
        <v>60</v>
      </c>
      <c r="Q172" s="18" t="s">
        <v>38</v>
      </c>
      <c r="R172" s="19" t="s">
        <v>992</v>
      </c>
      <c r="S172" s="19" t="s">
        <v>846</v>
      </c>
      <c r="T172" s="19" t="s">
        <v>1021</v>
      </c>
      <c r="U172" s="19" t="s">
        <v>33</v>
      </c>
      <c r="V172" s="19">
        <v>6344.0</v>
      </c>
      <c r="W172" s="19">
        <v>7486.0</v>
      </c>
      <c r="X172" s="19">
        <v>6500.0</v>
      </c>
      <c r="Y172" s="19">
        <v>6500.0</v>
      </c>
      <c r="Z172" s="10">
        <f t="shared" si="1"/>
        <v>986</v>
      </c>
      <c r="AA172" s="15">
        <f t="shared" si="2"/>
        <v>0</v>
      </c>
      <c r="AB172" s="19" t="s">
        <v>39</v>
      </c>
      <c r="AC172" s="17" t="s">
        <v>1022</v>
      </c>
    </row>
    <row r="173">
      <c r="A173" s="17">
        <v>171.0</v>
      </c>
      <c r="B173" s="19" t="s">
        <v>1011</v>
      </c>
      <c r="C173" s="17" t="s">
        <v>1023</v>
      </c>
      <c r="D173" s="17" t="s">
        <v>1024</v>
      </c>
      <c r="E173" s="19" t="s">
        <v>102</v>
      </c>
      <c r="F173" s="17" t="s">
        <v>103</v>
      </c>
      <c r="G173" s="17" t="s">
        <v>1025</v>
      </c>
      <c r="H173" s="19">
        <v>9.726160704E9</v>
      </c>
      <c r="I173" s="19" t="s">
        <v>33</v>
      </c>
      <c r="J173" s="19" t="s">
        <v>33</v>
      </c>
      <c r="K173" s="19">
        <v>756.0</v>
      </c>
      <c r="L173" s="19" t="s">
        <v>838</v>
      </c>
      <c r="M173" s="19" t="s">
        <v>107</v>
      </c>
      <c r="N173" s="21" t="s">
        <v>58</v>
      </c>
      <c r="O173" s="19" t="s">
        <v>36</v>
      </c>
      <c r="P173" s="19" t="s">
        <v>60</v>
      </c>
      <c r="Q173" s="18" t="s">
        <v>38</v>
      </c>
      <c r="R173" s="22">
        <v>46210.0</v>
      </c>
      <c r="S173" s="19" t="s">
        <v>1026</v>
      </c>
      <c r="T173" s="22">
        <v>47214.0</v>
      </c>
      <c r="U173" s="19" t="s">
        <v>33</v>
      </c>
      <c r="V173" s="19">
        <v>6351.0</v>
      </c>
      <c r="W173" s="19">
        <v>7495.0</v>
      </c>
      <c r="X173" s="19">
        <v>6500.0</v>
      </c>
      <c r="Y173" s="19">
        <v>6500.0</v>
      </c>
      <c r="Z173" s="10">
        <f t="shared" si="1"/>
        <v>995</v>
      </c>
      <c r="AA173" s="15">
        <f t="shared" si="2"/>
        <v>0</v>
      </c>
      <c r="AB173" s="19" t="s">
        <v>39</v>
      </c>
      <c r="AC173" s="17" t="s">
        <v>1027</v>
      </c>
    </row>
    <row r="174">
      <c r="A174" s="17">
        <v>172.0</v>
      </c>
      <c r="B174" s="19" t="s">
        <v>1011</v>
      </c>
      <c r="C174" s="17" t="s">
        <v>1028</v>
      </c>
      <c r="D174" s="17" t="s">
        <v>1029</v>
      </c>
      <c r="E174" s="19" t="s">
        <v>52</v>
      </c>
      <c r="F174" s="17" t="s">
        <v>1030</v>
      </c>
      <c r="G174" s="17" t="s">
        <v>1031</v>
      </c>
      <c r="H174" s="19">
        <v>9.664710187E9</v>
      </c>
      <c r="I174" s="19" t="s">
        <v>33</v>
      </c>
      <c r="J174" s="19" t="s">
        <v>33</v>
      </c>
      <c r="K174" s="19">
        <v>3895.0</v>
      </c>
      <c r="L174" s="19" t="s">
        <v>1020</v>
      </c>
      <c r="M174" s="19" t="s">
        <v>92</v>
      </c>
      <c r="N174" s="21" t="s">
        <v>58</v>
      </c>
      <c r="O174" s="19" t="s">
        <v>496</v>
      </c>
      <c r="P174" s="19" t="s">
        <v>79</v>
      </c>
      <c r="Q174" s="18" t="s">
        <v>38</v>
      </c>
      <c r="R174" s="19" t="s">
        <v>1032</v>
      </c>
      <c r="S174" s="19" t="s">
        <v>1033</v>
      </c>
      <c r="T174" s="19" t="s">
        <v>212</v>
      </c>
      <c r="U174" s="19" t="s">
        <v>33</v>
      </c>
      <c r="V174" s="23">
        <v>24652.0</v>
      </c>
      <c r="W174" s="23">
        <v>27003.0</v>
      </c>
      <c r="X174" s="19">
        <v>22142.0</v>
      </c>
      <c r="Y174" s="19">
        <v>22000.0</v>
      </c>
      <c r="Z174" s="14">
        <f t="shared" si="1"/>
        <v>5003</v>
      </c>
      <c r="AA174" s="15">
        <f t="shared" si="2"/>
        <v>-142</v>
      </c>
      <c r="AB174" s="19" t="s">
        <v>39</v>
      </c>
      <c r="AC174" s="17" t="s">
        <v>1034</v>
      </c>
    </row>
    <row r="175">
      <c r="A175" s="26">
        <v>173.0</v>
      </c>
      <c r="B175" s="19" t="s">
        <v>1011</v>
      </c>
      <c r="C175" s="17" t="s">
        <v>1035</v>
      </c>
      <c r="D175" s="17" t="s">
        <v>1036</v>
      </c>
      <c r="E175" s="19" t="s">
        <v>88</v>
      </c>
      <c r="F175" s="17" t="s">
        <v>1037</v>
      </c>
      <c r="G175" s="17" t="s">
        <v>1038</v>
      </c>
      <c r="H175" s="19">
        <v>9.537307613E9</v>
      </c>
      <c r="I175" s="19">
        <v>9.054498923E9</v>
      </c>
      <c r="J175" s="19" t="s">
        <v>33</v>
      </c>
      <c r="K175" s="19">
        <v>12976.0</v>
      </c>
      <c r="L175" s="19" t="s">
        <v>395</v>
      </c>
      <c r="M175" s="19" t="s">
        <v>619</v>
      </c>
      <c r="N175" s="21" t="s">
        <v>46</v>
      </c>
      <c r="O175" s="19" t="s">
        <v>424</v>
      </c>
      <c r="P175" s="19" t="s">
        <v>79</v>
      </c>
      <c r="Q175" s="18" t="s">
        <v>38</v>
      </c>
      <c r="R175" s="19" t="s">
        <v>1039</v>
      </c>
      <c r="S175" s="22">
        <v>46272.0</v>
      </c>
      <c r="T175" s="22">
        <v>46327.0</v>
      </c>
      <c r="U175" s="19" t="s">
        <v>33</v>
      </c>
      <c r="V175" s="19">
        <v>35463.0</v>
      </c>
      <c r="W175" s="19">
        <v>37257.0</v>
      </c>
      <c r="X175" s="19">
        <v>23000.0</v>
      </c>
      <c r="Y175" s="19">
        <v>23000.0</v>
      </c>
      <c r="Z175" s="10">
        <f t="shared" si="1"/>
        <v>14257</v>
      </c>
      <c r="AA175" s="15">
        <f t="shared" si="2"/>
        <v>0</v>
      </c>
      <c r="AB175" s="19" t="s">
        <v>39</v>
      </c>
      <c r="AC175" s="17" t="s">
        <v>1040</v>
      </c>
    </row>
    <row r="176">
      <c r="A176" s="17">
        <v>175.0</v>
      </c>
      <c r="B176" s="19" t="s">
        <v>1011</v>
      </c>
      <c r="C176" s="17" t="s">
        <v>1041</v>
      </c>
      <c r="D176" s="17" t="s">
        <v>1042</v>
      </c>
      <c r="E176" s="19" t="s">
        <v>30</v>
      </c>
      <c r="F176" s="17" t="s">
        <v>1043</v>
      </c>
      <c r="G176" s="17" t="s">
        <v>1044</v>
      </c>
      <c r="H176" s="19" t="s">
        <v>1045</v>
      </c>
      <c r="I176" s="19">
        <v>9.974014522E9</v>
      </c>
      <c r="J176" s="19" t="s">
        <v>33</v>
      </c>
      <c r="K176" s="19">
        <v>796.0</v>
      </c>
      <c r="L176" s="19" t="s">
        <v>395</v>
      </c>
      <c r="M176" s="19" t="s">
        <v>152</v>
      </c>
      <c r="N176" s="21" t="s">
        <v>58</v>
      </c>
      <c r="O176" s="19" t="s">
        <v>66</v>
      </c>
      <c r="P176" s="19" t="s">
        <v>37</v>
      </c>
      <c r="Q176" s="18" t="s">
        <v>38</v>
      </c>
      <c r="R176" s="19" t="s">
        <v>1046</v>
      </c>
      <c r="S176" s="19" t="s">
        <v>1047</v>
      </c>
      <c r="T176" s="19" t="s">
        <v>33</v>
      </c>
      <c r="U176" s="19" t="s">
        <v>33</v>
      </c>
      <c r="V176" s="19">
        <v>6978.21</v>
      </c>
      <c r="W176" s="19">
        <v>8234.0</v>
      </c>
      <c r="X176" s="19">
        <v>8235.0</v>
      </c>
      <c r="Y176" s="19">
        <v>8200.0</v>
      </c>
      <c r="Z176" s="10">
        <f t="shared" si="1"/>
        <v>34</v>
      </c>
      <c r="AA176" s="15">
        <f t="shared" si="2"/>
        <v>-35</v>
      </c>
      <c r="AB176" s="19" t="s">
        <v>39</v>
      </c>
      <c r="AC176" s="17" t="s">
        <v>1048</v>
      </c>
    </row>
    <row r="177">
      <c r="A177" s="17">
        <v>174.0</v>
      </c>
      <c r="B177" s="19" t="s">
        <v>1011</v>
      </c>
      <c r="C177" s="17" t="s">
        <v>1049</v>
      </c>
      <c r="D177" s="17" t="s">
        <v>1050</v>
      </c>
      <c r="E177" s="19" t="s">
        <v>88</v>
      </c>
      <c r="F177" s="17" t="s">
        <v>1051</v>
      </c>
      <c r="G177" s="17" t="s">
        <v>1052</v>
      </c>
      <c r="H177" s="19">
        <v>7.984551688E9</v>
      </c>
      <c r="I177" s="19" t="s">
        <v>33</v>
      </c>
      <c r="J177" s="19" t="s">
        <v>33</v>
      </c>
      <c r="K177" s="19">
        <v>7490.0</v>
      </c>
      <c r="L177" s="19" t="s">
        <v>395</v>
      </c>
      <c r="M177" s="19" t="s">
        <v>107</v>
      </c>
      <c r="N177" s="21" t="s">
        <v>58</v>
      </c>
      <c r="O177" s="19" t="s">
        <v>36</v>
      </c>
      <c r="P177" s="19" t="s">
        <v>60</v>
      </c>
      <c r="Q177" s="18" t="s">
        <v>38</v>
      </c>
      <c r="R177" s="19" t="s">
        <v>441</v>
      </c>
      <c r="S177" s="19" t="s">
        <v>808</v>
      </c>
      <c r="T177" s="19" t="s">
        <v>1053</v>
      </c>
      <c r="U177" s="19" t="s">
        <v>33</v>
      </c>
      <c r="V177" s="19">
        <v>25618.0</v>
      </c>
      <c r="W177" s="19">
        <v>28142.0</v>
      </c>
      <c r="X177" s="19">
        <v>22500.0</v>
      </c>
      <c r="Y177" s="19">
        <v>22500.0</v>
      </c>
      <c r="Z177" s="10">
        <f t="shared" si="1"/>
        <v>5642</v>
      </c>
      <c r="AA177" s="15">
        <f t="shared" si="2"/>
        <v>0</v>
      </c>
      <c r="AB177" s="19" t="s">
        <v>39</v>
      </c>
      <c r="AC177" s="17" t="s">
        <v>1054</v>
      </c>
    </row>
    <row r="178">
      <c r="A178" s="26">
        <v>176.0</v>
      </c>
      <c r="B178" s="19" t="s">
        <v>1011</v>
      </c>
      <c r="C178" s="17" t="s">
        <v>1055</v>
      </c>
      <c r="D178" s="17" t="s">
        <v>1056</v>
      </c>
      <c r="E178" s="19" t="s">
        <v>52</v>
      </c>
      <c r="F178" s="17" t="s">
        <v>187</v>
      </c>
      <c r="G178" s="17" t="s">
        <v>1057</v>
      </c>
      <c r="H178" s="19">
        <v>8.128042544E9</v>
      </c>
      <c r="I178" s="19">
        <v>7.575878937E9</v>
      </c>
      <c r="J178" s="19" t="s">
        <v>33</v>
      </c>
      <c r="K178" s="19">
        <v>1600.0</v>
      </c>
      <c r="L178" s="19" t="s">
        <v>1058</v>
      </c>
      <c r="M178" s="19" t="s">
        <v>189</v>
      </c>
      <c r="N178" s="21" t="s">
        <v>58</v>
      </c>
      <c r="O178" s="19" t="s">
        <v>66</v>
      </c>
      <c r="P178" s="19" t="s">
        <v>79</v>
      </c>
      <c r="Q178" s="18" t="s">
        <v>38</v>
      </c>
      <c r="R178" s="19" t="s">
        <v>449</v>
      </c>
      <c r="S178" s="19" t="s">
        <v>1059</v>
      </c>
      <c r="T178" s="19" t="s">
        <v>33</v>
      </c>
      <c r="U178" s="19" t="s">
        <v>33</v>
      </c>
      <c r="V178" s="23">
        <v>20803.0</v>
      </c>
      <c r="W178" s="23">
        <v>22461.0</v>
      </c>
      <c r="X178" s="19">
        <v>13948.0</v>
      </c>
      <c r="Y178" s="19">
        <v>13500.0</v>
      </c>
      <c r="Z178" s="14">
        <f t="shared" si="1"/>
        <v>8961</v>
      </c>
      <c r="AA178" s="15">
        <f t="shared" si="2"/>
        <v>-448</v>
      </c>
      <c r="AB178" s="19" t="s">
        <v>39</v>
      </c>
      <c r="AC178" s="17" t="s">
        <v>1060</v>
      </c>
    </row>
    <row r="179">
      <c r="A179" s="17">
        <v>177.0</v>
      </c>
      <c r="B179" s="19" t="s">
        <v>1011</v>
      </c>
      <c r="C179" s="17" t="s">
        <v>1061</v>
      </c>
      <c r="D179" s="17" t="s">
        <v>1062</v>
      </c>
      <c r="E179" s="19" t="s">
        <v>52</v>
      </c>
      <c r="F179" s="17" t="s">
        <v>1063</v>
      </c>
      <c r="G179" s="17" t="s">
        <v>1064</v>
      </c>
      <c r="H179" s="19">
        <v>9.638786168E9</v>
      </c>
      <c r="I179" s="19">
        <v>9.638786148E9</v>
      </c>
      <c r="J179" s="19" t="s">
        <v>33</v>
      </c>
      <c r="K179" s="19">
        <v>2145.0</v>
      </c>
      <c r="L179" s="19" t="s">
        <v>838</v>
      </c>
      <c r="M179" s="19" t="s">
        <v>189</v>
      </c>
      <c r="N179" s="21" t="s">
        <v>58</v>
      </c>
      <c r="O179" s="19" t="s">
        <v>491</v>
      </c>
      <c r="P179" s="19" t="s">
        <v>79</v>
      </c>
      <c r="Q179" s="18" t="s">
        <v>38</v>
      </c>
      <c r="R179" s="19" t="s">
        <v>1065</v>
      </c>
      <c r="S179" s="19" t="s">
        <v>1066</v>
      </c>
      <c r="T179" s="19" t="s">
        <v>33</v>
      </c>
      <c r="U179" s="19" t="s">
        <v>33</v>
      </c>
      <c r="V179" s="23">
        <v>22432.0</v>
      </c>
      <c r="W179" s="23">
        <v>24383.0</v>
      </c>
      <c r="X179" s="19">
        <v>14847.0</v>
      </c>
      <c r="Y179" s="19">
        <v>15000.0</v>
      </c>
      <c r="Z179" s="14">
        <f t="shared" si="1"/>
        <v>9383</v>
      </c>
      <c r="AA179" s="15">
        <f t="shared" si="2"/>
        <v>153</v>
      </c>
      <c r="AB179" s="19" t="s">
        <v>39</v>
      </c>
      <c r="AC179" s="17" t="s">
        <v>1067</v>
      </c>
    </row>
    <row r="180">
      <c r="A180" s="35">
        <v>178.0</v>
      </c>
      <c r="B180" s="37" t="s">
        <v>1011</v>
      </c>
      <c r="C180" s="35" t="s">
        <v>1068</v>
      </c>
      <c r="D180" s="35" t="s">
        <v>1069</v>
      </c>
      <c r="E180" s="37" t="s">
        <v>88</v>
      </c>
      <c r="F180" s="35" t="s">
        <v>1070</v>
      </c>
      <c r="G180" s="35" t="s">
        <v>1071</v>
      </c>
      <c r="H180" s="37">
        <v>7.87752384E9</v>
      </c>
      <c r="I180" s="37">
        <v>9.824823333E9</v>
      </c>
      <c r="J180" s="37" t="s">
        <v>33</v>
      </c>
      <c r="K180" s="37">
        <v>55000.0</v>
      </c>
      <c r="L180" s="37" t="s">
        <v>395</v>
      </c>
      <c r="M180" s="37" t="s">
        <v>45</v>
      </c>
      <c r="N180" s="39" t="s">
        <v>58</v>
      </c>
      <c r="O180" s="37" t="s">
        <v>93</v>
      </c>
      <c r="P180" s="37" t="s">
        <v>79</v>
      </c>
      <c r="Q180" s="54" t="s">
        <v>38</v>
      </c>
      <c r="R180" s="37" t="s">
        <v>1072</v>
      </c>
      <c r="S180" s="43">
        <v>46114.0</v>
      </c>
      <c r="T180" s="43">
        <v>47825.0</v>
      </c>
      <c r="U180" s="37" t="s">
        <v>33</v>
      </c>
      <c r="V180" s="48">
        <v>75956.0</v>
      </c>
      <c r="W180" s="48">
        <v>83877.0</v>
      </c>
      <c r="X180" s="37">
        <v>71148.0</v>
      </c>
      <c r="Y180" s="37">
        <v>71000.0</v>
      </c>
      <c r="Z180" s="49">
        <f t="shared" si="1"/>
        <v>12877</v>
      </c>
      <c r="AA180" s="15">
        <f t="shared" si="2"/>
        <v>-148</v>
      </c>
      <c r="AB180" s="37" t="s">
        <v>39</v>
      </c>
      <c r="AC180" s="35" t="s">
        <v>1073</v>
      </c>
    </row>
    <row r="181">
      <c r="A181" s="17">
        <v>179.0</v>
      </c>
      <c r="B181" s="19" t="s">
        <v>1011</v>
      </c>
      <c r="C181" s="17" t="s">
        <v>1074</v>
      </c>
      <c r="D181" s="17" t="s">
        <v>1075</v>
      </c>
      <c r="E181" s="19" t="s">
        <v>30</v>
      </c>
      <c r="F181" s="17" t="s">
        <v>228</v>
      </c>
      <c r="G181" s="17" t="s">
        <v>1076</v>
      </c>
      <c r="H181" s="19">
        <v>9.978460453E9</v>
      </c>
      <c r="I181" s="19" t="s">
        <v>33</v>
      </c>
      <c r="J181" s="19" t="s">
        <v>33</v>
      </c>
      <c r="K181" s="19">
        <v>1495.0</v>
      </c>
      <c r="L181" s="19" t="s">
        <v>1020</v>
      </c>
      <c r="M181" s="19" t="s">
        <v>78</v>
      </c>
      <c r="N181" s="21" t="s">
        <v>46</v>
      </c>
      <c r="O181" s="19" t="s">
        <v>36</v>
      </c>
      <c r="P181" s="19" t="s">
        <v>37</v>
      </c>
      <c r="Q181" s="18" t="s">
        <v>38</v>
      </c>
      <c r="R181" s="25">
        <v>46723.0</v>
      </c>
      <c r="S181" s="19" t="s">
        <v>1077</v>
      </c>
      <c r="T181" s="19" t="s">
        <v>33</v>
      </c>
      <c r="U181" s="19" t="s">
        <v>33</v>
      </c>
      <c r="V181" s="23">
        <v>3807.0</v>
      </c>
      <c r="W181" s="19">
        <v>4493.0</v>
      </c>
      <c r="X181" s="19">
        <v>4500.0</v>
      </c>
      <c r="Y181" s="19">
        <v>4500.0</v>
      </c>
      <c r="Z181" s="10">
        <f t="shared" si="1"/>
        <v>-7</v>
      </c>
      <c r="AA181" s="15">
        <f t="shared" si="2"/>
        <v>0</v>
      </c>
      <c r="AB181" s="19" t="s">
        <v>39</v>
      </c>
      <c r="AC181" s="17" t="s">
        <v>1078</v>
      </c>
    </row>
    <row r="182">
      <c r="A182" s="17">
        <v>180.0</v>
      </c>
      <c r="B182" s="19" t="s">
        <v>1011</v>
      </c>
      <c r="C182" s="17" t="s">
        <v>1079</v>
      </c>
      <c r="D182" s="17" t="s">
        <v>1080</v>
      </c>
      <c r="E182" s="19" t="s">
        <v>52</v>
      </c>
      <c r="F182" s="17" t="s">
        <v>850</v>
      </c>
      <c r="G182" s="17" t="s">
        <v>595</v>
      </c>
      <c r="H182" s="19">
        <v>9.825051721E9</v>
      </c>
      <c r="I182" s="19">
        <v>8.485993847E9</v>
      </c>
      <c r="J182" s="19" t="s">
        <v>33</v>
      </c>
      <c r="K182" s="19">
        <v>2735.0</v>
      </c>
      <c r="L182" s="19" t="s">
        <v>708</v>
      </c>
      <c r="M182" s="19" t="s">
        <v>57</v>
      </c>
      <c r="N182" s="21" t="s">
        <v>58</v>
      </c>
      <c r="O182" s="19" t="s">
        <v>66</v>
      </c>
      <c r="P182" s="19" t="s">
        <v>60</v>
      </c>
      <c r="Q182" s="18" t="s">
        <v>38</v>
      </c>
      <c r="R182" s="19" t="s">
        <v>1081</v>
      </c>
      <c r="S182" s="22">
        <v>46061.0</v>
      </c>
      <c r="T182" s="19" t="s">
        <v>33</v>
      </c>
      <c r="U182" s="19" t="s">
        <v>33</v>
      </c>
      <c r="V182" s="23">
        <v>20642.0</v>
      </c>
      <c r="W182" s="23">
        <v>22258.0</v>
      </c>
      <c r="X182" s="19">
        <v>14681.0</v>
      </c>
      <c r="Y182" s="19">
        <v>14500.0</v>
      </c>
      <c r="Z182" s="14">
        <f t="shared" si="1"/>
        <v>7758</v>
      </c>
      <c r="AA182" s="15">
        <f t="shared" si="2"/>
        <v>-181</v>
      </c>
      <c r="AB182" s="19" t="s">
        <v>39</v>
      </c>
      <c r="AC182" s="17" t="s">
        <v>1082</v>
      </c>
    </row>
    <row r="183">
      <c r="A183" s="35">
        <v>181.0</v>
      </c>
      <c r="B183" s="37" t="s">
        <v>1011</v>
      </c>
      <c r="C183" s="35" t="s">
        <v>1083</v>
      </c>
      <c r="D183" s="35" t="s">
        <v>1084</v>
      </c>
      <c r="E183" s="37" t="s">
        <v>88</v>
      </c>
      <c r="F183" s="35" t="s">
        <v>1085</v>
      </c>
      <c r="G183" s="35" t="s">
        <v>1086</v>
      </c>
      <c r="H183" s="37">
        <v>9.909340415E9</v>
      </c>
      <c r="I183" s="37">
        <v>8.347400459E9</v>
      </c>
      <c r="J183" s="37" t="s">
        <v>33</v>
      </c>
      <c r="K183" s="37">
        <v>35000.0</v>
      </c>
      <c r="L183" s="37" t="s">
        <v>395</v>
      </c>
      <c r="M183" s="37" t="s">
        <v>107</v>
      </c>
      <c r="N183" s="39" t="s">
        <v>58</v>
      </c>
      <c r="O183" s="37" t="s">
        <v>66</v>
      </c>
      <c r="P183" s="37" t="s">
        <v>60</v>
      </c>
      <c r="Q183" s="54" t="s">
        <v>38</v>
      </c>
      <c r="R183" s="37" t="s">
        <v>448</v>
      </c>
      <c r="S183" s="43">
        <v>46447.0</v>
      </c>
      <c r="T183" s="37" t="s">
        <v>1087</v>
      </c>
      <c r="U183" s="37" t="s">
        <v>33</v>
      </c>
      <c r="V183" s="48">
        <v>72744.0</v>
      </c>
      <c r="W183" s="48">
        <v>80125.0</v>
      </c>
      <c r="X183" s="48">
        <v>65984.0</v>
      </c>
      <c r="Y183" s="37">
        <v>66000.0</v>
      </c>
      <c r="Z183" s="49">
        <f t="shared" si="1"/>
        <v>14125</v>
      </c>
      <c r="AA183" s="15">
        <f t="shared" si="2"/>
        <v>16</v>
      </c>
      <c r="AB183" s="37" t="s">
        <v>39</v>
      </c>
      <c r="AC183" s="35" t="s">
        <v>1088</v>
      </c>
    </row>
    <row r="184">
      <c r="A184" s="17">
        <v>182.0</v>
      </c>
      <c r="B184" s="19" t="s">
        <v>1011</v>
      </c>
      <c r="C184" s="17" t="s">
        <v>1089</v>
      </c>
      <c r="D184" s="17" t="s">
        <v>1090</v>
      </c>
      <c r="E184" s="19" t="s">
        <v>52</v>
      </c>
      <c r="F184" s="17" t="s">
        <v>187</v>
      </c>
      <c r="G184" s="17" t="s">
        <v>1091</v>
      </c>
      <c r="H184" s="19">
        <v>9.265338843E9</v>
      </c>
      <c r="I184" s="19" t="s">
        <v>33</v>
      </c>
      <c r="J184" s="19" t="s">
        <v>33</v>
      </c>
      <c r="K184" s="19">
        <v>1600.0</v>
      </c>
      <c r="L184" s="19" t="s">
        <v>838</v>
      </c>
      <c r="M184" s="19" t="s">
        <v>189</v>
      </c>
      <c r="N184" s="21" t="s">
        <v>58</v>
      </c>
      <c r="O184" s="19" t="s">
        <v>36</v>
      </c>
      <c r="P184" s="19" t="s">
        <v>79</v>
      </c>
      <c r="Q184" s="18" t="s">
        <v>38</v>
      </c>
      <c r="R184" s="19" t="s">
        <v>1092</v>
      </c>
      <c r="S184" s="19" t="s">
        <v>1093</v>
      </c>
      <c r="T184" s="19" t="s">
        <v>33</v>
      </c>
      <c r="U184" s="19" t="s">
        <v>33</v>
      </c>
      <c r="V184" s="19">
        <v>17536.0</v>
      </c>
      <c r="W184" s="19">
        <v>18606.0</v>
      </c>
      <c r="X184" s="19">
        <v>12208.0</v>
      </c>
      <c r="Y184" s="19">
        <v>12000.0</v>
      </c>
      <c r="Z184" s="10">
        <f t="shared" si="1"/>
        <v>6606</v>
      </c>
      <c r="AA184" s="15">
        <f t="shared" si="2"/>
        <v>-208</v>
      </c>
      <c r="AB184" s="19" t="s">
        <v>39</v>
      </c>
      <c r="AC184" s="17" t="s">
        <v>1094</v>
      </c>
    </row>
    <row r="185">
      <c r="A185" s="17">
        <v>183.0</v>
      </c>
      <c r="B185" s="19" t="s">
        <v>1011</v>
      </c>
      <c r="C185" s="17" t="s">
        <v>1095</v>
      </c>
      <c r="D185" s="17" t="s">
        <v>1096</v>
      </c>
      <c r="E185" s="19" t="s">
        <v>75</v>
      </c>
      <c r="F185" s="17" t="s">
        <v>1097</v>
      </c>
      <c r="G185" s="17" t="s">
        <v>1098</v>
      </c>
      <c r="H185" s="19">
        <v>9.727347864E9</v>
      </c>
      <c r="I185" s="19" t="s">
        <v>33</v>
      </c>
      <c r="J185" s="19" t="s">
        <v>33</v>
      </c>
      <c r="K185" s="19">
        <v>125.0</v>
      </c>
      <c r="L185" s="19" t="s">
        <v>1099</v>
      </c>
      <c r="M185" s="19" t="s">
        <v>78</v>
      </c>
      <c r="N185" s="21" t="s">
        <v>46</v>
      </c>
      <c r="O185" s="19" t="s">
        <v>66</v>
      </c>
      <c r="P185" s="19" t="s">
        <v>79</v>
      </c>
      <c r="Q185" s="18" t="s">
        <v>38</v>
      </c>
      <c r="R185" s="19" t="s">
        <v>1100</v>
      </c>
      <c r="S185" s="19" t="s">
        <v>33</v>
      </c>
      <c r="T185" s="19" t="s">
        <v>33</v>
      </c>
      <c r="U185" s="19" t="s">
        <v>33</v>
      </c>
      <c r="V185" s="23">
        <v>714.0</v>
      </c>
      <c r="W185" s="19">
        <v>842.0</v>
      </c>
      <c r="X185" s="19">
        <v>850.0</v>
      </c>
      <c r="Y185" s="19">
        <v>850.0</v>
      </c>
      <c r="Z185" s="10">
        <f t="shared" si="1"/>
        <v>-8</v>
      </c>
      <c r="AA185" s="15">
        <f t="shared" si="2"/>
        <v>0</v>
      </c>
      <c r="AB185" s="19" t="s">
        <v>39</v>
      </c>
      <c r="AC185" s="17" t="s">
        <v>1101</v>
      </c>
    </row>
    <row r="186">
      <c r="A186" s="17">
        <v>184.0</v>
      </c>
      <c r="B186" s="19" t="s">
        <v>1011</v>
      </c>
      <c r="C186" s="17" t="s">
        <v>1102</v>
      </c>
      <c r="D186" s="17" t="s">
        <v>1103</v>
      </c>
      <c r="E186" s="19" t="s">
        <v>75</v>
      </c>
      <c r="F186" s="17" t="s">
        <v>1104</v>
      </c>
      <c r="G186" s="17" t="s">
        <v>1105</v>
      </c>
      <c r="H186" s="19">
        <v>9.421610196E9</v>
      </c>
      <c r="I186" s="19" t="s">
        <v>33</v>
      </c>
      <c r="J186" s="19" t="s">
        <v>618</v>
      </c>
      <c r="K186" s="19">
        <v>125.0</v>
      </c>
      <c r="L186" s="19" t="s">
        <v>1020</v>
      </c>
      <c r="M186" s="19" t="s">
        <v>78</v>
      </c>
      <c r="N186" s="21" t="s">
        <v>46</v>
      </c>
      <c r="O186" s="19" t="s">
        <v>36</v>
      </c>
      <c r="P186" s="19" t="s">
        <v>79</v>
      </c>
      <c r="Q186" s="18" t="s">
        <v>38</v>
      </c>
      <c r="R186" s="19" t="s">
        <v>1106</v>
      </c>
      <c r="S186" s="19" t="s">
        <v>1107</v>
      </c>
      <c r="T186" s="19" t="s">
        <v>33</v>
      </c>
      <c r="U186" s="19" t="s">
        <v>33</v>
      </c>
      <c r="V186" s="19">
        <v>714.0</v>
      </c>
      <c r="W186" s="19">
        <v>842.0</v>
      </c>
      <c r="X186" s="19">
        <v>850.0</v>
      </c>
      <c r="Y186" s="19">
        <v>850.0</v>
      </c>
      <c r="Z186" s="10">
        <f t="shared" si="1"/>
        <v>-8</v>
      </c>
      <c r="AA186" s="15">
        <f t="shared" si="2"/>
        <v>0</v>
      </c>
      <c r="AB186" s="19" t="s">
        <v>39</v>
      </c>
      <c r="AC186" s="17" t="s">
        <v>1108</v>
      </c>
    </row>
    <row r="187">
      <c r="A187" s="35">
        <v>185.0</v>
      </c>
      <c r="B187" s="37" t="s">
        <v>1011</v>
      </c>
      <c r="C187" s="35" t="s">
        <v>1109</v>
      </c>
      <c r="D187" s="35" t="s">
        <v>1110</v>
      </c>
      <c r="E187" s="37" t="s">
        <v>52</v>
      </c>
      <c r="F187" s="35" t="s">
        <v>1111</v>
      </c>
      <c r="G187" s="35" t="s">
        <v>1112</v>
      </c>
      <c r="H187" s="37">
        <v>8.000959295E9</v>
      </c>
      <c r="I187" s="37" t="s">
        <v>33</v>
      </c>
      <c r="J187" s="37" t="s">
        <v>33</v>
      </c>
      <c r="K187" s="37">
        <v>5950.0</v>
      </c>
      <c r="L187" s="37" t="s">
        <v>838</v>
      </c>
      <c r="M187" s="37" t="s">
        <v>107</v>
      </c>
      <c r="N187" s="39" t="s">
        <v>58</v>
      </c>
      <c r="O187" s="37" t="s">
        <v>66</v>
      </c>
      <c r="P187" s="37" t="s">
        <v>60</v>
      </c>
      <c r="Q187" s="54" t="s">
        <v>38</v>
      </c>
      <c r="R187" s="43">
        <v>46056.0</v>
      </c>
      <c r="S187" s="37" t="s">
        <v>544</v>
      </c>
      <c r="T187" s="43">
        <v>46789.0</v>
      </c>
      <c r="U187" s="37" t="s">
        <v>33</v>
      </c>
      <c r="V187" s="41">
        <v>17714.0</v>
      </c>
      <c r="W187" s="41">
        <v>18816.0</v>
      </c>
      <c r="X187" s="37">
        <v>17262.0</v>
      </c>
      <c r="Y187" s="37">
        <v>17500.0</v>
      </c>
      <c r="Z187" s="45">
        <f t="shared" si="1"/>
        <v>1316</v>
      </c>
      <c r="AA187" s="15">
        <f t="shared" si="2"/>
        <v>238</v>
      </c>
      <c r="AB187" s="37" t="s">
        <v>39</v>
      </c>
      <c r="AC187" s="35" t="s">
        <v>1113</v>
      </c>
    </row>
    <row r="188">
      <c r="A188" s="17">
        <v>186.0</v>
      </c>
      <c r="B188" s="19" t="s">
        <v>1011</v>
      </c>
      <c r="C188" s="17" t="s">
        <v>1114</v>
      </c>
      <c r="D188" s="17" t="s">
        <v>1115</v>
      </c>
      <c r="E188" s="19" t="s">
        <v>167</v>
      </c>
      <c r="F188" s="17" t="s">
        <v>168</v>
      </c>
      <c r="G188" s="17" t="s">
        <v>1116</v>
      </c>
      <c r="H188" s="19">
        <v>9.870073364E9</v>
      </c>
      <c r="I188" s="19">
        <v>6.351227051E9</v>
      </c>
      <c r="J188" s="19" t="s">
        <v>33</v>
      </c>
      <c r="K188" s="19">
        <v>990.0</v>
      </c>
      <c r="L188" s="19" t="s">
        <v>395</v>
      </c>
      <c r="M188" s="19" t="s">
        <v>152</v>
      </c>
      <c r="N188" s="21" t="s">
        <v>58</v>
      </c>
      <c r="O188" s="19" t="s">
        <v>129</v>
      </c>
      <c r="P188" s="19" t="s">
        <v>79</v>
      </c>
      <c r="Q188" s="18" t="s">
        <v>38</v>
      </c>
      <c r="R188" s="22">
        <v>45566.0</v>
      </c>
      <c r="S188" s="22">
        <v>45200.0</v>
      </c>
      <c r="T188" s="19" t="s">
        <v>33</v>
      </c>
      <c r="U188" s="19" t="s">
        <v>33</v>
      </c>
      <c r="V188" s="23">
        <v>5051.04</v>
      </c>
      <c r="W188" s="23">
        <v>5376.0</v>
      </c>
      <c r="X188" s="19">
        <v>5000.0</v>
      </c>
      <c r="Y188" s="19">
        <v>5000.0</v>
      </c>
      <c r="Z188" s="14">
        <f t="shared" si="1"/>
        <v>376</v>
      </c>
      <c r="AA188" s="15">
        <f t="shared" si="2"/>
        <v>0</v>
      </c>
      <c r="AB188" s="19" t="s">
        <v>39</v>
      </c>
      <c r="AC188" s="17" t="s">
        <v>1117</v>
      </c>
    </row>
    <row r="189">
      <c r="A189" s="17">
        <v>187.0</v>
      </c>
      <c r="B189" s="19" t="s">
        <v>1118</v>
      </c>
      <c r="C189" s="17" t="s">
        <v>1119</v>
      </c>
      <c r="D189" s="17" t="s">
        <v>1120</v>
      </c>
      <c r="E189" s="19" t="s">
        <v>102</v>
      </c>
      <c r="F189" s="17" t="s">
        <v>111</v>
      </c>
      <c r="G189" s="17" t="s">
        <v>1121</v>
      </c>
      <c r="H189" s="19">
        <v>9.687300786E9</v>
      </c>
      <c r="I189" s="19" t="s">
        <v>33</v>
      </c>
      <c r="J189" s="19" t="s">
        <v>33</v>
      </c>
      <c r="K189" s="19">
        <v>818.0</v>
      </c>
      <c r="L189" s="19" t="s">
        <v>708</v>
      </c>
      <c r="M189" s="19" t="s">
        <v>107</v>
      </c>
      <c r="N189" s="21" t="s">
        <v>58</v>
      </c>
      <c r="O189" s="19" t="s">
        <v>153</v>
      </c>
      <c r="P189" s="19" t="s">
        <v>60</v>
      </c>
      <c r="Q189" s="18" t="s">
        <v>38</v>
      </c>
      <c r="R189" s="19" t="s">
        <v>1122</v>
      </c>
      <c r="S189" s="19" t="s">
        <v>739</v>
      </c>
      <c r="T189" s="19" t="s">
        <v>1021</v>
      </c>
      <c r="U189" s="19" t="s">
        <v>33</v>
      </c>
      <c r="V189" s="24">
        <v>6436.0</v>
      </c>
      <c r="W189" s="24">
        <v>7594.0</v>
      </c>
      <c r="X189" s="19">
        <v>6500.0</v>
      </c>
      <c r="Y189" s="19">
        <v>6000.0</v>
      </c>
      <c r="Z189" s="15">
        <f t="shared" si="1"/>
        <v>1594</v>
      </c>
      <c r="AA189" s="15">
        <f t="shared" si="2"/>
        <v>-500</v>
      </c>
      <c r="AB189" s="19" t="s">
        <v>39</v>
      </c>
      <c r="AC189" s="17" t="s">
        <v>1123</v>
      </c>
    </row>
    <row r="190">
      <c r="A190" s="17">
        <v>188.0</v>
      </c>
      <c r="B190" s="19" t="s">
        <v>1118</v>
      </c>
      <c r="C190" s="17" t="s">
        <v>1124</v>
      </c>
      <c r="D190" s="17" t="s">
        <v>1125</v>
      </c>
      <c r="E190" s="19" t="s">
        <v>52</v>
      </c>
      <c r="F190" s="17" t="s">
        <v>1126</v>
      </c>
      <c r="G190" s="17" t="s">
        <v>1127</v>
      </c>
      <c r="H190" s="19">
        <v>9.726603538E9</v>
      </c>
      <c r="I190" s="19">
        <v>9.924855857E9</v>
      </c>
      <c r="J190" s="19" t="s">
        <v>33</v>
      </c>
      <c r="K190" s="19">
        <v>2450.0</v>
      </c>
      <c r="L190" s="19" t="s">
        <v>395</v>
      </c>
      <c r="M190" s="19" t="s">
        <v>92</v>
      </c>
      <c r="N190" s="21" t="s">
        <v>58</v>
      </c>
      <c r="O190" s="19" t="s">
        <v>66</v>
      </c>
      <c r="P190" s="19" t="s">
        <v>79</v>
      </c>
      <c r="Q190" s="18" t="s">
        <v>38</v>
      </c>
      <c r="R190" s="19" t="s">
        <v>449</v>
      </c>
      <c r="S190" s="19" t="s">
        <v>1128</v>
      </c>
      <c r="T190" s="19" t="s">
        <v>33</v>
      </c>
      <c r="U190" s="19" t="s">
        <v>33</v>
      </c>
      <c r="V190" s="24">
        <v>17191.0</v>
      </c>
      <c r="W190" s="24">
        <v>18199.0</v>
      </c>
      <c r="X190" s="19">
        <v>12315.0</v>
      </c>
      <c r="Y190" s="19">
        <v>12000.0</v>
      </c>
      <c r="Z190" s="15">
        <f t="shared" si="1"/>
        <v>6199</v>
      </c>
      <c r="AA190" s="15">
        <f t="shared" si="2"/>
        <v>-315</v>
      </c>
      <c r="AB190" s="19" t="s">
        <v>39</v>
      </c>
      <c r="AC190" s="17" t="s">
        <v>1129</v>
      </c>
    </row>
    <row r="191">
      <c r="A191" s="17">
        <v>189.0</v>
      </c>
      <c r="B191" s="19" t="s">
        <v>1118</v>
      </c>
      <c r="C191" s="17" t="s">
        <v>1130</v>
      </c>
      <c r="D191" s="17" t="s">
        <v>1131</v>
      </c>
      <c r="E191" s="19" t="s">
        <v>269</v>
      </c>
      <c r="F191" s="17" t="s">
        <v>1132</v>
      </c>
      <c r="G191" s="17" t="s">
        <v>1133</v>
      </c>
      <c r="H191" s="19">
        <v>9.924113509E9</v>
      </c>
      <c r="I191" s="19">
        <v>9.662227938E9</v>
      </c>
      <c r="J191" s="19" t="s">
        <v>357</v>
      </c>
      <c r="K191" s="19">
        <v>11950.0</v>
      </c>
      <c r="L191" s="19" t="s">
        <v>395</v>
      </c>
      <c r="M191" s="19" t="s">
        <v>92</v>
      </c>
      <c r="N191" s="21" t="s">
        <v>46</v>
      </c>
      <c r="O191" s="19" t="s">
        <v>431</v>
      </c>
      <c r="P191" s="19" t="s">
        <v>79</v>
      </c>
      <c r="Q191" s="18" t="s">
        <v>38</v>
      </c>
      <c r="R191" s="19" t="s">
        <v>1134</v>
      </c>
      <c r="S191" s="22">
        <v>46363.0</v>
      </c>
      <c r="T191" s="22">
        <v>46055.0</v>
      </c>
      <c r="U191" s="19" t="s">
        <v>33</v>
      </c>
      <c r="V191" s="23">
        <v>27286.0</v>
      </c>
      <c r="W191" s="23">
        <v>28663.0</v>
      </c>
      <c r="X191" s="19">
        <v>21000.0</v>
      </c>
      <c r="Y191" s="19">
        <v>20800.0</v>
      </c>
      <c r="Z191" s="14">
        <f t="shared" si="1"/>
        <v>7863</v>
      </c>
      <c r="AA191" s="15">
        <f t="shared" si="2"/>
        <v>-200</v>
      </c>
      <c r="AB191" s="19" t="s">
        <v>39</v>
      </c>
      <c r="AC191" s="17" t="s">
        <v>1135</v>
      </c>
    </row>
    <row r="192">
      <c r="A192" s="17">
        <v>190.0</v>
      </c>
      <c r="B192" s="19" t="s">
        <v>1118</v>
      </c>
      <c r="C192" s="17" t="s">
        <v>1136</v>
      </c>
      <c r="D192" s="17" t="s">
        <v>1137</v>
      </c>
      <c r="E192" s="19" t="s">
        <v>30</v>
      </c>
      <c r="F192" s="17" t="s">
        <v>737</v>
      </c>
      <c r="G192" s="17" t="s">
        <v>1138</v>
      </c>
      <c r="H192" s="19">
        <v>6.353173964E9</v>
      </c>
      <c r="I192" s="19">
        <v>9.016271129E9</v>
      </c>
      <c r="J192" s="19" t="s">
        <v>33</v>
      </c>
      <c r="K192" s="19">
        <v>1086.0</v>
      </c>
      <c r="L192" s="19" t="s">
        <v>106</v>
      </c>
      <c r="M192" s="19" t="s">
        <v>78</v>
      </c>
      <c r="N192" s="21" t="s">
        <v>46</v>
      </c>
      <c r="O192" s="19" t="s">
        <v>491</v>
      </c>
      <c r="P192" s="19" t="s">
        <v>37</v>
      </c>
      <c r="Q192" s="18" t="s">
        <v>38</v>
      </c>
      <c r="R192" s="25">
        <v>46489.0</v>
      </c>
      <c r="S192" s="19" t="s">
        <v>1139</v>
      </c>
      <c r="T192" s="19" t="s">
        <v>33</v>
      </c>
      <c r="U192" s="19" t="s">
        <v>33</v>
      </c>
      <c r="V192" s="23">
        <v>3476.0</v>
      </c>
      <c r="W192" s="23">
        <v>4102.0</v>
      </c>
      <c r="X192" s="19">
        <v>4000.0</v>
      </c>
      <c r="Y192" s="19">
        <v>4000.0</v>
      </c>
      <c r="Z192" s="14">
        <f t="shared" si="1"/>
        <v>102</v>
      </c>
      <c r="AA192" s="15">
        <f t="shared" si="2"/>
        <v>0</v>
      </c>
      <c r="AB192" s="19" t="s">
        <v>39</v>
      </c>
      <c r="AC192" s="17" t="s">
        <v>1140</v>
      </c>
    </row>
    <row r="193">
      <c r="A193" s="17">
        <v>191.0</v>
      </c>
      <c r="B193" s="19" t="s">
        <v>1118</v>
      </c>
      <c r="C193" s="17" t="s">
        <v>1141</v>
      </c>
      <c r="D193" s="17" t="s">
        <v>1142</v>
      </c>
      <c r="E193" s="19" t="s">
        <v>102</v>
      </c>
      <c r="F193" s="17" t="s">
        <v>111</v>
      </c>
      <c r="G193" s="17" t="s">
        <v>1143</v>
      </c>
      <c r="H193" s="19">
        <v>6.353455852E9</v>
      </c>
      <c r="I193" s="19">
        <v>9.099418006E9</v>
      </c>
      <c r="J193" s="19" t="s">
        <v>33</v>
      </c>
      <c r="K193" s="19">
        <v>818.0</v>
      </c>
      <c r="L193" s="19" t="s">
        <v>1020</v>
      </c>
      <c r="M193" s="19" t="s">
        <v>107</v>
      </c>
      <c r="N193" s="21" t="s">
        <v>58</v>
      </c>
      <c r="O193" s="19" t="s">
        <v>66</v>
      </c>
      <c r="P193" s="19" t="s">
        <v>60</v>
      </c>
      <c r="Q193" s="18" t="s">
        <v>38</v>
      </c>
      <c r="R193" s="19" t="s">
        <v>1144</v>
      </c>
      <c r="S193" s="19" t="s">
        <v>1145</v>
      </c>
      <c r="T193" s="19" t="s">
        <v>1146</v>
      </c>
      <c r="U193" s="19" t="s">
        <v>33</v>
      </c>
      <c r="V193" s="23">
        <v>6187.0</v>
      </c>
      <c r="W193" s="23">
        <v>7301.0</v>
      </c>
      <c r="X193" s="19">
        <v>6500.0</v>
      </c>
      <c r="Y193" s="19">
        <v>6500.0</v>
      </c>
      <c r="Z193" s="14">
        <f t="shared" si="1"/>
        <v>801</v>
      </c>
      <c r="AA193" s="15">
        <f t="shared" si="2"/>
        <v>0</v>
      </c>
      <c r="AB193" s="19" t="s">
        <v>39</v>
      </c>
      <c r="AC193" s="17" t="s">
        <v>1147</v>
      </c>
    </row>
    <row r="194">
      <c r="A194" s="17">
        <v>192.0</v>
      </c>
      <c r="B194" s="19" t="s">
        <v>1118</v>
      </c>
      <c r="C194" s="17" t="s">
        <v>1148</v>
      </c>
      <c r="D194" s="17" t="s">
        <v>1149</v>
      </c>
      <c r="E194" s="19" t="s">
        <v>167</v>
      </c>
      <c r="F194" s="17" t="s">
        <v>222</v>
      </c>
      <c r="G194" s="17" t="s">
        <v>1150</v>
      </c>
      <c r="H194" s="19">
        <v>6.355868716E9</v>
      </c>
      <c r="I194" s="19">
        <v>6.353294096E9</v>
      </c>
      <c r="J194" s="19" t="s">
        <v>33</v>
      </c>
      <c r="K194" s="19">
        <v>995.0</v>
      </c>
      <c r="L194" s="19" t="s">
        <v>1020</v>
      </c>
      <c r="M194" s="19" t="s">
        <v>224</v>
      </c>
      <c r="N194" s="21" t="s">
        <v>58</v>
      </c>
      <c r="O194" s="19" t="s">
        <v>66</v>
      </c>
      <c r="P194" s="19" t="s">
        <v>79</v>
      </c>
      <c r="Q194" s="18" t="s">
        <v>38</v>
      </c>
      <c r="R194" s="19" t="s">
        <v>992</v>
      </c>
      <c r="S194" s="19" t="s">
        <v>1151</v>
      </c>
      <c r="T194" s="19" t="s">
        <v>33</v>
      </c>
      <c r="U194" s="19" t="s">
        <v>33</v>
      </c>
      <c r="V194" s="23">
        <v>5635.0</v>
      </c>
      <c r="W194" s="23">
        <v>6057.0</v>
      </c>
      <c r="X194" s="19">
        <v>5000.0</v>
      </c>
      <c r="Y194" s="19">
        <v>5000.0</v>
      </c>
      <c r="Z194" s="14">
        <f t="shared" si="1"/>
        <v>1057</v>
      </c>
      <c r="AA194" s="15">
        <f t="shared" si="2"/>
        <v>0</v>
      </c>
      <c r="AB194" s="19" t="s">
        <v>39</v>
      </c>
      <c r="AC194" s="17" t="s">
        <v>1152</v>
      </c>
    </row>
    <row r="195">
      <c r="A195" s="17">
        <v>193.0</v>
      </c>
      <c r="B195" s="19" t="s">
        <v>1118</v>
      </c>
      <c r="C195" s="17" t="s">
        <v>1153</v>
      </c>
      <c r="D195" s="17" t="s">
        <v>1154</v>
      </c>
      <c r="E195" s="19" t="s">
        <v>88</v>
      </c>
      <c r="F195" s="17" t="s">
        <v>1155</v>
      </c>
      <c r="G195" s="17" t="s">
        <v>1156</v>
      </c>
      <c r="H195" s="19">
        <v>9.638181213E9</v>
      </c>
      <c r="I195" s="19" t="s">
        <v>33</v>
      </c>
      <c r="J195" s="19" t="s">
        <v>33</v>
      </c>
      <c r="K195" s="19">
        <v>12500.0</v>
      </c>
      <c r="L195" s="19" t="s">
        <v>1020</v>
      </c>
      <c r="M195" s="19" t="s">
        <v>92</v>
      </c>
      <c r="N195" s="21" t="s">
        <v>46</v>
      </c>
      <c r="O195" s="19" t="s">
        <v>66</v>
      </c>
      <c r="P195" s="19" t="s">
        <v>79</v>
      </c>
      <c r="Q195" s="18" t="s">
        <v>38</v>
      </c>
      <c r="R195" s="22">
        <v>46302.0</v>
      </c>
      <c r="S195" s="22">
        <v>46241.0</v>
      </c>
      <c r="T195" s="19" t="s">
        <v>1157</v>
      </c>
      <c r="U195" s="19" t="s">
        <v>33</v>
      </c>
      <c r="V195" s="23">
        <v>35413.0</v>
      </c>
      <c r="W195" s="23">
        <v>37197.0</v>
      </c>
      <c r="X195" s="19">
        <v>24000.0</v>
      </c>
      <c r="Y195" s="19">
        <v>23000.0</v>
      </c>
      <c r="Z195" s="14">
        <f t="shared" si="1"/>
        <v>14197</v>
      </c>
      <c r="AA195" s="15">
        <f t="shared" si="2"/>
        <v>-1000</v>
      </c>
      <c r="AB195" s="19" t="s">
        <v>39</v>
      </c>
      <c r="AC195" s="17" t="s">
        <v>1158</v>
      </c>
    </row>
    <row r="196">
      <c r="A196" s="17">
        <v>194.0</v>
      </c>
      <c r="B196" s="19" t="s">
        <v>1118</v>
      </c>
      <c r="C196" s="17" t="s">
        <v>1159</v>
      </c>
      <c r="D196" s="17" t="s">
        <v>1160</v>
      </c>
      <c r="E196" s="19" t="s">
        <v>88</v>
      </c>
      <c r="F196" s="17" t="s">
        <v>1155</v>
      </c>
      <c r="G196" s="17" t="s">
        <v>1161</v>
      </c>
      <c r="H196" s="19">
        <v>8.849337024E9</v>
      </c>
      <c r="I196" s="19">
        <v>9.879583037E9</v>
      </c>
      <c r="J196" s="19" t="s">
        <v>33</v>
      </c>
      <c r="K196" s="19">
        <v>18500.0</v>
      </c>
      <c r="L196" s="19" t="s">
        <v>1020</v>
      </c>
      <c r="M196" s="19" t="s">
        <v>92</v>
      </c>
      <c r="N196" s="21" t="s">
        <v>46</v>
      </c>
      <c r="O196" s="19" t="s">
        <v>66</v>
      </c>
      <c r="P196" s="19" t="s">
        <v>79</v>
      </c>
      <c r="Q196" s="18" t="s">
        <v>38</v>
      </c>
      <c r="R196" s="19" t="s">
        <v>557</v>
      </c>
      <c r="S196" s="22">
        <v>46085.0</v>
      </c>
      <c r="T196" s="19" t="s">
        <v>1162</v>
      </c>
      <c r="U196" s="19" t="s">
        <v>33</v>
      </c>
      <c r="V196" s="23">
        <v>35413.0</v>
      </c>
      <c r="W196" s="23">
        <v>37197.0</v>
      </c>
      <c r="X196" s="19">
        <v>24000.0</v>
      </c>
      <c r="Y196" s="19">
        <v>24000.0</v>
      </c>
      <c r="Z196" s="14">
        <f t="shared" si="1"/>
        <v>13197</v>
      </c>
      <c r="AA196" s="15">
        <f t="shared" si="2"/>
        <v>0</v>
      </c>
      <c r="AB196" s="19" t="s">
        <v>39</v>
      </c>
      <c r="AC196" s="17" t="s">
        <v>1163</v>
      </c>
    </row>
    <row r="197">
      <c r="A197" s="17">
        <v>195.0</v>
      </c>
      <c r="B197" s="19" t="s">
        <v>1118</v>
      </c>
      <c r="C197" s="17" t="s">
        <v>1164</v>
      </c>
      <c r="D197" s="17" t="s">
        <v>1165</v>
      </c>
      <c r="E197" s="19" t="s">
        <v>52</v>
      </c>
      <c r="F197" s="17" t="s">
        <v>1166</v>
      </c>
      <c r="G197" s="17" t="s">
        <v>1167</v>
      </c>
      <c r="H197" s="19">
        <v>8.780757411E9</v>
      </c>
      <c r="I197" s="19">
        <v>9.724005611E9</v>
      </c>
      <c r="J197" s="19" t="s">
        <v>33</v>
      </c>
      <c r="K197" s="19">
        <v>5400.0</v>
      </c>
      <c r="L197" s="19" t="s">
        <v>1020</v>
      </c>
      <c r="M197" s="19" t="s">
        <v>839</v>
      </c>
      <c r="N197" s="21" t="s">
        <v>58</v>
      </c>
      <c r="O197" s="19" t="s">
        <v>129</v>
      </c>
      <c r="P197" s="19" t="s">
        <v>60</v>
      </c>
      <c r="Q197" s="18" t="s">
        <v>38</v>
      </c>
      <c r="R197" s="19" t="s">
        <v>503</v>
      </c>
      <c r="S197" s="22">
        <v>46150.0</v>
      </c>
      <c r="T197" s="19" t="s">
        <v>1168</v>
      </c>
      <c r="U197" s="19" t="s">
        <v>33</v>
      </c>
      <c r="V197" s="23">
        <v>25201.0</v>
      </c>
      <c r="W197" s="23">
        <v>27650.0</v>
      </c>
      <c r="X197" s="24">
        <v>25000.0</v>
      </c>
      <c r="Y197" s="24">
        <v>25000.0</v>
      </c>
      <c r="Z197" s="14">
        <f t="shared" si="1"/>
        <v>2650</v>
      </c>
      <c r="AA197" s="15">
        <f t="shared" si="2"/>
        <v>0</v>
      </c>
      <c r="AB197" s="19" t="s">
        <v>39</v>
      </c>
      <c r="AC197" s="17" t="s">
        <v>1169</v>
      </c>
    </row>
    <row r="198">
      <c r="A198" s="17">
        <v>196.0</v>
      </c>
      <c r="B198" s="19" t="s">
        <v>1118</v>
      </c>
      <c r="C198" s="17" t="s">
        <v>1170</v>
      </c>
      <c r="D198" s="17" t="s">
        <v>1171</v>
      </c>
      <c r="E198" s="19" t="s">
        <v>52</v>
      </c>
      <c r="F198" s="17" t="s">
        <v>1132</v>
      </c>
      <c r="G198" s="17" t="s">
        <v>1172</v>
      </c>
      <c r="H198" s="19">
        <v>8.780757411E9</v>
      </c>
      <c r="I198" s="19">
        <v>9.724005611E9</v>
      </c>
      <c r="J198" s="19" t="s">
        <v>33</v>
      </c>
      <c r="K198" s="19">
        <v>5400.0</v>
      </c>
      <c r="L198" s="19" t="s">
        <v>1020</v>
      </c>
      <c r="M198" s="19" t="s">
        <v>92</v>
      </c>
      <c r="N198" s="21" t="s">
        <v>58</v>
      </c>
      <c r="O198" s="19" t="s">
        <v>129</v>
      </c>
      <c r="P198" s="19" t="s">
        <v>79</v>
      </c>
      <c r="Q198" s="18" t="s">
        <v>38</v>
      </c>
      <c r="R198" s="19" t="s">
        <v>503</v>
      </c>
      <c r="S198" s="19" t="s">
        <v>1173</v>
      </c>
      <c r="T198" s="19" t="s">
        <v>1168</v>
      </c>
      <c r="U198" s="19" t="s">
        <v>33</v>
      </c>
      <c r="V198" s="23">
        <v>23145.0</v>
      </c>
      <c r="W198" s="23">
        <v>25225.0</v>
      </c>
      <c r="X198" s="19">
        <v>21000.0</v>
      </c>
      <c r="Y198" s="19">
        <v>20967.0</v>
      </c>
      <c r="Z198" s="14">
        <f t="shared" si="1"/>
        <v>4258</v>
      </c>
      <c r="AA198" s="15">
        <f t="shared" si="2"/>
        <v>-33</v>
      </c>
      <c r="AB198" s="19" t="s">
        <v>39</v>
      </c>
      <c r="AC198" s="17" t="s">
        <v>1174</v>
      </c>
    </row>
    <row r="199">
      <c r="A199" s="17">
        <v>197.0</v>
      </c>
      <c r="B199" s="19" t="s">
        <v>1118</v>
      </c>
      <c r="C199" s="17" t="s">
        <v>1175</v>
      </c>
      <c r="D199" s="17" t="s">
        <v>1176</v>
      </c>
      <c r="E199" s="19" t="s">
        <v>88</v>
      </c>
      <c r="F199" s="17" t="s">
        <v>276</v>
      </c>
      <c r="G199" s="17" t="s">
        <v>1177</v>
      </c>
      <c r="H199" s="19">
        <v>9.033700009E9</v>
      </c>
      <c r="I199" s="19">
        <v>9.377794775E9</v>
      </c>
      <c r="J199" s="19" t="s">
        <v>33</v>
      </c>
      <c r="K199" s="19">
        <v>28000.0</v>
      </c>
      <c r="L199" s="19" t="s">
        <v>1020</v>
      </c>
      <c r="M199" s="19" t="s">
        <v>78</v>
      </c>
      <c r="N199" s="21" t="s">
        <v>46</v>
      </c>
      <c r="O199" s="19" t="s">
        <v>431</v>
      </c>
      <c r="P199" s="19" t="s">
        <v>971</v>
      </c>
      <c r="Q199" s="18" t="s">
        <v>38</v>
      </c>
      <c r="R199" s="19" t="s">
        <v>1139</v>
      </c>
      <c r="S199" s="19" t="s">
        <v>465</v>
      </c>
      <c r="T199" s="19" t="s">
        <v>1178</v>
      </c>
      <c r="U199" s="19" t="s">
        <v>33</v>
      </c>
      <c r="V199" s="55">
        <v>44050.0</v>
      </c>
      <c r="W199" s="23">
        <v>46266.0</v>
      </c>
      <c r="X199" s="19">
        <v>31500.0</v>
      </c>
      <c r="Y199" s="19">
        <v>31500.0</v>
      </c>
      <c r="Z199" s="14">
        <f t="shared" si="1"/>
        <v>14766</v>
      </c>
      <c r="AA199" s="15">
        <f t="shared" si="2"/>
        <v>0</v>
      </c>
      <c r="AB199" s="19" t="s">
        <v>39</v>
      </c>
      <c r="AC199" s="17" t="s">
        <v>1179</v>
      </c>
    </row>
    <row r="200">
      <c r="A200" s="26">
        <v>198.0</v>
      </c>
      <c r="B200" s="19" t="s">
        <v>1180</v>
      </c>
      <c r="C200" s="17" t="s">
        <v>1181</v>
      </c>
      <c r="D200" s="17" t="s">
        <v>1182</v>
      </c>
      <c r="E200" s="19" t="s">
        <v>30</v>
      </c>
      <c r="F200" s="17" t="s">
        <v>1183</v>
      </c>
      <c r="G200" s="17" t="s">
        <v>1184</v>
      </c>
      <c r="H200" s="19">
        <v>7.990130795E9</v>
      </c>
      <c r="I200" s="19">
        <v>8.160669515E9</v>
      </c>
      <c r="J200" s="19" t="s">
        <v>33</v>
      </c>
      <c r="K200" s="19">
        <v>2048.0</v>
      </c>
      <c r="L200" s="19" t="s">
        <v>106</v>
      </c>
      <c r="M200" s="19" t="s">
        <v>152</v>
      </c>
      <c r="N200" s="21" t="s">
        <v>46</v>
      </c>
      <c r="O200" s="19" t="s">
        <v>93</v>
      </c>
      <c r="P200" s="19" t="s">
        <v>60</v>
      </c>
      <c r="Q200" s="18" t="s">
        <v>38</v>
      </c>
      <c r="R200" s="19" t="s">
        <v>1185</v>
      </c>
      <c r="S200" s="19" t="s">
        <v>33</v>
      </c>
      <c r="T200" s="19" t="s">
        <v>33</v>
      </c>
      <c r="U200" s="19" t="s">
        <v>33</v>
      </c>
      <c r="V200" s="23">
        <v>7317.0</v>
      </c>
      <c r="W200" s="23">
        <v>8634.0</v>
      </c>
      <c r="X200" s="19">
        <v>8500.0</v>
      </c>
      <c r="Y200" s="19">
        <v>9000.0</v>
      </c>
      <c r="Z200" s="14">
        <f t="shared" si="1"/>
        <v>-366</v>
      </c>
      <c r="AA200" s="15">
        <f t="shared" si="2"/>
        <v>500</v>
      </c>
      <c r="AB200" s="19" t="s">
        <v>39</v>
      </c>
      <c r="AC200" s="17" t="s">
        <v>1186</v>
      </c>
    </row>
    <row r="201">
      <c r="A201" s="17">
        <v>199.0</v>
      </c>
      <c r="B201" s="19" t="s">
        <v>1180</v>
      </c>
      <c r="C201" s="17" t="s">
        <v>1187</v>
      </c>
      <c r="D201" s="18">
        <v>9.00927534E8</v>
      </c>
      <c r="E201" s="19" t="s">
        <v>30</v>
      </c>
      <c r="F201" s="17" t="s">
        <v>463</v>
      </c>
      <c r="G201" s="17" t="s">
        <v>1188</v>
      </c>
      <c r="H201" s="19">
        <v>9.3740034E9</v>
      </c>
      <c r="I201" s="19">
        <v>9.510497257E9</v>
      </c>
      <c r="J201" s="19" t="s">
        <v>33</v>
      </c>
      <c r="K201" s="19">
        <v>1197.0</v>
      </c>
      <c r="L201" s="19" t="s">
        <v>1189</v>
      </c>
      <c r="M201" s="19" t="s">
        <v>34</v>
      </c>
      <c r="N201" s="21" t="s">
        <v>58</v>
      </c>
      <c r="O201" s="19" t="s">
        <v>153</v>
      </c>
      <c r="P201" s="19" t="s">
        <v>37</v>
      </c>
      <c r="Q201" s="18" t="s">
        <v>38</v>
      </c>
      <c r="R201" s="22">
        <v>48732.0</v>
      </c>
      <c r="S201" s="19" t="s">
        <v>1190</v>
      </c>
      <c r="T201" s="19" t="s">
        <v>33</v>
      </c>
      <c r="U201" s="19" t="s">
        <v>33</v>
      </c>
      <c r="V201" s="23">
        <v>7968.96</v>
      </c>
      <c r="W201" s="23">
        <v>9403.0</v>
      </c>
      <c r="X201" s="19">
        <v>9403.0</v>
      </c>
      <c r="Y201" s="19">
        <v>9403.0</v>
      </c>
      <c r="Z201" s="14">
        <f t="shared" si="1"/>
        <v>0</v>
      </c>
      <c r="AA201" s="15">
        <f t="shared" si="2"/>
        <v>0</v>
      </c>
      <c r="AB201" s="19" t="s">
        <v>39</v>
      </c>
      <c r="AC201" s="17" t="s">
        <v>1191</v>
      </c>
    </row>
    <row r="202">
      <c r="A202" s="17">
        <v>200.0</v>
      </c>
      <c r="B202" s="19" t="s">
        <v>1180</v>
      </c>
      <c r="C202" s="17" t="s">
        <v>1192</v>
      </c>
      <c r="D202" s="17" t="s">
        <v>1193</v>
      </c>
      <c r="E202" s="19" t="s">
        <v>88</v>
      </c>
      <c r="F202" s="17" t="s">
        <v>1155</v>
      </c>
      <c r="G202" s="17" t="s">
        <v>1194</v>
      </c>
      <c r="H202" s="19">
        <v>9.979642929E9</v>
      </c>
      <c r="I202" s="19" t="s">
        <v>33</v>
      </c>
      <c r="J202" s="19" t="s">
        <v>33</v>
      </c>
      <c r="K202" s="19">
        <v>28000.0</v>
      </c>
      <c r="L202" s="19" t="s">
        <v>1020</v>
      </c>
      <c r="M202" s="19" t="s">
        <v>92</v>
      </c>
      <c r="N202" s="21" t="s">
        <v>46</v>
      </c>
      <c r="O202" s="19" t="s">
        <v>66</v>
      </c>
      <c r="P202" s="19" t="s">
        <v>79</v>
      </c>
      <c r="Q202" s="18" t="s">
        <v>38</v>
      </c>
      <c r="R202" s="22">
        <v>46631.0</v>
      </c>
      <c r="S202" s="25">
        <v>46210.0</v>
      </c>
      <c r="T202" s="22">
        <v>46852.0</v>
      </c>
      <c r="U202" s="19" t="s">
        <v>33</v>
      </c>
      <c r="V202" s="23">
        <v>44050.0</v>
      </c>
      <c r="W202" s="23">
        <v>46266.0</v>
      </c>
      <c r="X202" s="19">
        <v>29000.0</v>
      </c>
      <c r="Y202" s="19">
        <v>29000.0</v>
      </c>
      <c r="Z202" s="14">
        <f t="shared" si="1"/>
        <v>17266</v>
      </c>
      <c r="AA202" s="15">
        <f t="shared" si="2"/>
        <v>0</v>
      </c>
      <c r="AB202" s="19" t="s">
        <v>39</v>
      </c>
      <c r="AC202" s="17" t="s">
        <v>1195</v>
      </c>
    </row>
    <row r="203">
      <c r="A203" s="17">
        <v>201.0</v>
      </c>
      <c r="B203" s="19" t="s">
        <v>1180</v>
      </c>
      <c r="C203" s="17" t="s">
        <v>1196</v>
      </c>
      <c r="D203" s="17" t="s">
        <v>1197</v>
      </c>
      <c r="E203" s="19" t="s">
        <v>88</v>
      </c>
      <c r="F203" s="17" t="s">
        <v>1198</v>
      </c>
      <c r="G203" s="17" t="s">
        <v>1199</v>
      </c>
      <c r="H203" s="19">
        <v>9.687300786E9</v>
      </c>
      <c r="I203" s="19">
        <v>9.687400786E9</v>
      </c>
      <c r="J203" s="19" t="s">
        <v>33</v>
      </c>
      <c r="K203" s="19">
        <v>16020.0</v>
      </c>
      <c r="L203" s="19" t="s">
        <v>708</v>
      </c>
      <c r="M203" s="19" t="s">
        <v>591</v>
      </c>
      <c r="N203" s="21" t="s">
        <v>58</v>
      </c>
      <c r="O203" s="19" t="s">
        <v>66</v>
      </c>
      <c r="P203" s="19" t="s">
        <v>79</v>
      </c>
      <c r="Q203" s="18" t="s">
        <v>38</v>
      </c>
      <c r="R203" s="19" t="s">
        <v>1200</v>
      </c>
      <c r="S203" s="19" t="s">
        <v>441</v>
      </c>
      <c r="T203" s="19" t="s">
        <v>1168</v>
      </c>
      <c r="U203" s="19" t="s">
        <v>33</v>
      </c>
      <c r="V203" s="24">
        <v>39104.0</v>
      </c>
      <c r="W203" s="23">
        <v>41552.04</v>
      </c>
      <c r="X203" s="19">
        <v>34674.0</v>
      </c>
      <c r="Y203" s="19">
        <v>35000.0</v>
      </c>
      <c r="Z203" s="14">
        <f t="shared" si="1"/>
        <v>6552.04</v>
      </c>
      <c r="AA203" s="15">
        <f t="shared" si="2"/>
        <v>326</v>
      </c>
      <c r="AB203" s="19" t="s">
        <v>39</v>
      </c>
      <c r="AC203" s="17" t="s">
        <v>1201</v>
      </c>
    </row>
    <row r="204">
      <c r="A204" s="17">
        <v>202.0</v>
      </c>
      <c r="B204" s="19" t="s">
        <v>1180</v>
      </c>
      <c r="C204" s="17" t="s">
        <v>1202</v>
      </c>
      <c r="D204" s="17" t="s">
        <v>1203</v>
      </c>
      <c r="E204" s="19" t="s">
        <v>88</v>
      </c>
      <c r="F204" s="17" t="s">
        <v>948</v>
      </c>
      <c r="G204" s="17" t="s">
        <v>1204</v>
      </c>
      <c r="H204" s="19">
        <v>9.428277711E9</v>
      </c>
      <c r="I204" s="19">
        <v>9.537704952E9</v>
      </c>
      <c r="J204" s="19" t="s">
        <v>33</v>
      </c>
      <c r="K204" s="19">
        <v>28000.0</v>
      </c>
      <c r="L204" s="19" t="s">
        <v>708</v>
      </c>
      <c r="M204" s="19" t="s">
        <v>92</v>
      </c>
      <c r="N204" s="21" t="s">
        <v>46</v>
      </c>
      <c r="O204" s="19" t="s">
        <v>66</v>
      </c>
      <c r="P204" s="19" t="s">
        <v>79</v>
      </c>
      <c r="Q204" s="18" t="s">
        <v>38</v>
      </c>
      <c r="R204" s="22">
        <v>46358.0</v>
      </c>
      <c r="S204" s="22">
        <v>45999.0</v>
      </c>
      <c r="T204" s="19" t="s">
        <v>1205</v>
      </c>
      <c r="U204" s="19" t="s">
        <v>33</v>
      </c>
      <c r="V204" s="23">
        <v>44050.0</v>
      </c>
      <c r="W204" s="23">
        <v>46266.0</v>
      </c>
      <c r="X204" s="19">
        <v>29000.0</v>
      </c>
      <c r="Y204" s="19">
        <v>27500.0</v>
      </c>
      <c r="Z204" s="14">
        <f t="shared" si="1"/>
        <v>18766</v>
      </c>
      <c r="AA204" s="15">
        <f t="shared" si="2"/>
        <v>-1500</v>
      </c>
      <c r="AB204" s="19" t="s">
        <v>39</v>
      </c>
      <c r="AC204" s="17" t="s">
        <v>1206</v>
      </c>
    </row>
    <row r="205">
      <c r="A205" s="17">
        <v>203.0</v>
      </c>
      <c r="B205" s="19" t="s">
        <v>1180</v>
      </c>
      <c r="C205" s="17" t="s">
        <v>1207</v>
      </c>
      <c r="D205" s="17" t="s">
        <v>1208</v>
      </c>
      <c r="E205" s="19" t="s">
        <v>269</v>
      </c>
      <c r="F205" s="17" t="s">
        <v>1209</v>
      </c>
      <c r="G205" s="17" t="s">
        <v>1210</v>
      </c>
      <c r="H205" s="19">
        <v>9.879215889E9</v>
      </c>
      <c r="I205" s="19">
        <v>9.879215889E9</v>
      </c>
      <c r="J205" s="19" t="s">
        <v>33</v>
      </c>
      <c r="K205" s="19">
        <v>11950.0</v>
      </c>
      <c r="L205" s="19" t="s">
        <v>106</v>
      </c>
      <c r="M205" s="19" t="s">
        <v>92</v>
      </c>
      <c r="N205" s="21" t="s">
        <v>46</v>
      </c>
      <c r="O205" s="19" t="s">
        <v>161</v>
      </c>
      <c r="P205" s="19" t="s">
        <v>79</v>
      </c>
      <c r="Q205" s="18" t="s">
        <v>38</v>
      </c>
      <c r="R205" s="19" t="s">
        <v>441</v>
      </c>
      <c r="S205" s="19" t="s">
        <v>1211</v>
      </c>
      <c r="T205" s="22">
        <v>46883.0</v>
      </c>
      <c r="U205" s="19" t="s">
        <v>33</v>
      </c>
      <c r="V205" s="23">
        <v>27286.0</v>
      </c>
      <c r="W205" s="19">
        <v>28663.0</v>
      </c>
      <c r="X205" s="19">
        <v>21000.0</v>
      </c>
      <c r="Y205" s="19">
        <v>21000.0</v>
      </c>
      <c r="Z205" s="10">
        <f t="shared" si="1"/>
        <v>7663</v>
      </c>
      <c r="AA205" s="15">
        <f t="shared" si="2"/>
        <v>0</v>
      </c>
      <c r="AB205" s="19" t="s">
        <v>39</v>
      </c>
      <c r="AC205" s="17" t="s">
        <v>1212</v>
      </c>
    </row>
    <row r="206">
      <c r="A206" s="26">
        <v>204.0</v>
      </c>
      <c r="B206" s="19" t="s">
        <v>1180</v>
      </c>
      <c r="C206" s="17" t="s">
        <v>1213</v>
      </c>
      <c r="D206" s="17" t="s">
        <v>1214</v>
      </c>
      <c r="E206" s="19" t="s">
        <v>30</v>
      </c>
      <c r="F206" s="17" t="s">
        <v>1215</v>
      </c>
      <c r="G206" s="17" t="s">
        <v>1216</v>
      </c>
      <c r="H206" s="19">
        <v>9.016521035E9</v>
      </c>
      <c r="I206" s="19">
        <v>9.265568543E9</v>
      </c>
      <c r="J206" s="19" t="s">
        <v>33</v>
      </c>
      <c r="K206" s="19">
        <v>1197.0</v>
      </c>
      <c r="L206" s="19" t="s">
        <v>1020</v>
      </c>
      <c r="M206" s="19" t="s">
        <v>57</v>
      </c>
      <c r="N206" s="21" t="s">
        <v>58</v>
      </c>
      <c r="O206" s="19" t="s">
        <v>36</v>
      </c>
      <c r="P206" s="19" t="s">
        <v>37</v>
      </c>
      <c r="Q206" s="18" t="s">
        <v>38</v>
      </c>
      <c r="R206" s="19" t="s">
        <v>1217</v>
      </c>
      <c r="S206" s="19" t="s">
        <v>1218</v>
      </c>
      <c r="T206" s="19" t="s">
        <v>33</v>
      </c>
      <c r="U206" s="19" t="s">
        <v>33</v>
      </c>
      <c r="V206" s="23">
        <v>11672.0</v>
      </c>
      <c r="W206" s="23">
        <v>13773.0</v>
      </c>
      <c r="X206" s="19">
        <v>13773.0</v>
      </c>
      <c r="Y206" s="19">
        <v>13700.0</v>
      </c>
      <c r="Z206" s="14">
        <f t="shared" si="1"/>
        <v>73</v>
      </c>
      <c r="AA206" s="15">
        <f t="shared" si="2"/>
        <v>-73</v>
      </c>
      <c r="AB206" s="19" t="s">
        <v>39</v>
      </c>
      <c r="AC206" s="17" t="s">
        <v>1219</v>
      </c>
    </row>
    <row r="207">
      <c r="A207" s="17">
        <v>205.0</v>
      </c>
      <c r="B207" s="19" t="s">
        <v>1180</v>
      </c>
      <c r="C207" s="17" t="s">
        <v>1220</v>
      </c>
      <c r="D207" s="17" t="s">
        <v>1221</v>
      </c>
      <c r="E207" s="19" t="s">
        <v>102</v>
      </c>
      <c r="F207" s="17" t="s">
        <v>111</v>
      </c>
      <c r="G207" s="17" t="s">
        <v>1222</v>
      </c>
      <c r="H207" s="19">
        <v>6.353860076E9</v>
      </c>
      <c r="I207" s="19">
        <v>9.265647656E9</v>
      </c>
      <c r="J207" s="19" t="s">
        <v>55</v>
      </c>
      <c r="K207" s="19">
        <v>818.0</v>
      </c>
      <c r="L207" s="19" t="s">
        <v>106</v>
      </c>
      <c r="M207" s="19" t="s">
        <v>107</v>
      </c>
      <c r="N207" s="21" t="s">
        <v>58</v>
      </c>
      <c r="O207" s="19" t="s">
        <v>66</v>
      </c>
      <c r="P207" s="19" t="s">
        <v>60</v>
      </c>
      <c r="Q207" s="18" t="s">
        <v>38</v>
      </c>
      <c r="R207" s="19" t="s">
        <v>1122</v>
      </c>
      <c r="S207" s="19" t="s">
        <v>441</v>
      </c>
      <c r="T207" s="19" t="s">
        <v>1021</v>
      </c>
      <c r="U207" s="19" t="s">
        <v>33</v>
      </c>
      <c r="V207" s="23">
        <v>6390.0</v>
      </c>
      <c r="W207" s="23">
        <v>7540.0</v>
      </c>
      <c r="X207" s="19">
        <v>6500.0</v>
      </c>
      <c r="Y207" s="19">
        <v>6500.0</v>
      </c>
      <c r="Z207" s="14">
        <f t="shared" si="1"/>
        <v>1040</v>
      </c>
      <c r="AA207" s="15">
        <f t="shared" si="2"/>
        <v>0</v>
      </c>
      <c r="AB207" s="19" t="s">
        <v>39</v>
      </c>
      <c r="AC207" s="17" t="s">
        <v>1223</v>
      </c>
    </row>
    <row r="208">
      <c r="A208" s="17">
        <v>206.0</v>
      </c>
      <c r="B208" s="19" t="s">
        <v>1180</v>
      </c>
      <c r="C208" s="17" t="s">
        <v>1224</v>
      </c>
      <c r="D208" s="17" t="s">
        <v>1225</v>
      </c>
      <c r="E208" s="19" t="s">
        <v>102</v>
      </c>
      <c r="F208" s="17" t="s">
        <v>111</v>
      </c>
      <c r="G208" s="17" t="s">
        <v>1226</v>
      </c>
      <c r="H208" s="19">
        <v>9.998295323E9</v>
      </c>
      <c r="I208" s="19">
        <v>9.898315226E9</v>
      </c>
      <c r="J208" s="19" t="s">
        <v>105</v>
      </c>
      <c r="K208" s="19">
        <v>818.0</v>
      </c>
      <c r="L208" s="19" t="s">
        <v>106</v>
      </c>
      <c r="M208" s="19" t="s">
        <v>107</v>
      </c>
      <c r="N208" s="21" t="s">
        <v>58</v>
      </c>
      <c r="O208" s="19" t="s">
        <v>66</v>
      </c>
      <c r="P208" s="19" t="s">
        <v>60</v>
      </c>
      <c r="Q208" s="18" t="s">
        <v>38</v>
      </c>
      <c r="R208" s="19" t="s">
        <v>992</v>
      </c>
      <c r="S208" s="22">
        <v>46298.0</v>
      </c>
      <c r="T208" s="19" t="s">
        <v>1227</v>
      </c>
      <c r="U208" s="19" t="s">
        <v>33</v>
      </c>
      <c r="V208" s="19">
        <v>6944.0</v>
      </c>
      <c r="W208" s="19">
        <v>8194.0</v>
      </c>
      <c r="X208" s="19">
        <v>7500.0</v>
      </c>
      <c r="Y208" s="19">
        <v>7500.0</v>
      </c>
      <c r="Z208" s="10">
        <f t="shared" si="1"/>
        <v>694</v>
      </c>
      <c r="AA208" s="15">
        <f t="shared" si="2"/>
        <v>0</v>
      </c>
      <c r="AB208" s="19" t="s">
        <v>39</v>
      </c>
      <c r="AC208" s="17" t="s">
        <v>1228</v>
      </c>
    </row>
    <row r="209">
      <c r="A209" s="17">
        <v>207.0</v>
      </c>
      <c r="B209" s="19" t="s">
        <v>1180</v>
      </c>
      <c r="C209" s="17" t="s">
        <v>1229</v>
      </c>
      <c r="D209" s="17" t="s">
        <v>1230</v>
      </c>
      <c r="E209" s="19" t="s">
        <v>102</v>
      </c>
      <c r="F209" s="17" t="s">
        <v>1231</v>
      </c>
      <c r="G209" s="17" t="s">
        <v>1232</v>
      </c>
      <c r="H209" s="19">
        <v>8.141342603E9</v>
      </c>
      <c r="I209" s="19" t="s">
        <v>33</v>
      </c>
      <c r="J209" s="19" t="s">
        <v>33</v>
      </c>
      <c r="K209" s="19">
        <v>698.0</v>
      </c>
      <c r="L209" s="19" t="s">
        <v>106</v>
      </c>
      <c r="M209" s="19" t="s">
        <v>107</v>
      </c>
      <c r="N209" s="21" t="s">
        <v>58</v>
      </c>
      <c r="O209" s="19" t="s">
        <v>496</v>
      </c>
      <c r="P209" s="19" t="s">
        <v>60</v>
      </c>
      <c r="Q209" s="18" t="s">
        <v>38</v>
      </c>
      <c r="R209" s="19" t="s">
        <v>432</v>
      </c>
      <c r="S209" s="19" t="s">
        <v>95</v>
      </c>
      <c r="T209" s="19" t="s">
        <v>1233</v>
      </c>
      <c r="U209" s="19" t="s">
        <v>33</v>
      </c>
      <c r="V209" s="23">
        <v>6307.0</v>
      </c>
      <c r="W209" s="23">
        <v>7443.0</v>
      </c>
      <c r="X209" s="19">
        <v>6500.0</v>
      </c>
      <c r="Y209" s="19">
        <v>6300.0</v>
      </c>
      <c r="Z209" s="14">
        <f t="shared" si="1"/>
        <v>1143</v>
      </c>
      <c r="AA209" s="15">
        <f t="shared" si="2"/>
        <v>-200</v>
      </c>
      <c r="AB209" s="19" t="s">
        <v>39</v>
      </c>
      <c r="AC209" s="17" t="s">
        <v>1234</v>
      </c>
    </row>
    <row r="210">
      <c r="A210" s="17">
        <v>208.0</v>
      </c>
      <c r="B210" s="19" t="s">
        <v>1180</v>
      </c>
      <c r="C210" s="17" t="s">
        <v>1235</v>
      </c>
      <c r="D210" s="17" t="s">
        <v>1236</v>
      </c>
      <c r="E210" s="19" t="s">
        <v>102</v>
      </c>
      <c r="F210" s="17" t="s">
        <v>111</v>
      </c>
      <c r="G210" s="17" t="s">
        <v>1237</v>
      </c>
      <c r="H210" s="19">
        <v>9.71244326E9</v>
      </c>
      <c r="I210" s="19">
        <v>9.26505216E9</v>
      </c>
      <c r="J210" s="19" t="s">
        <v>33</v>
      </c>
      <c r="K210" s="19">
        <v>818.0</v>
      </c>
      <c r="L210" s="19" t="s">
        <v>1020</v>
      </c>
      <c r="M210" s="19" t="s">
        <v>107</v>
      </c>
      <c r="N210" s="21" t="s">
        <v>58</v>
      </c>
      <c r="O210" s="19" t="s">
        <v>161</v>
      </c>
      <c r="P210" s="19" t="s">
        <v>60</v>
      </c>
      <c r="Q210" s="18" t="s">
        <v>38</v>
      </c>
      <c r="R210" s="19" t="s">
        <v>1238</v>
      </c>
      <c r="S210" s="22">
        <v>45689.0</v>
      </c>
      <c r="T210" s="19" t="s">
        <v>525</v>
      </c>
      <c r="U210" s="19" t="s">
        <v>33</v>
      </c>
      <c r="V210" s="19">
        <v>6272.0</v>
      </c>
      <c r="W210" s="19">
        <v>7402.0</v>
      </c>
      <c r="X210" s="19">
        <v>6500.0</v>
      </c>
      <c r="Y210" s="19">
        <v>6000.0</v>
      </c>
      <c r="Z210" s="10">
        <f t="shared" si="1"/>
        <v>1402</v>
      </c>
      <c r="AA210" s="15">
        <f t="shared" si="2"/>
        <v>-500</v>
      </c>
      <c r="AB210" s="19" t="s">
        <v>39</v>
      </c>
      <c r="AC210" s="17" t="s">
        <v>1239</v>
      </c>
    </row>
    <row r="211">
      <c r="A211" s="17">
        <v>209.0</v>
      </c>
      <c r="B211" s="19" t="s">
        <v>1180</v>
      </c>
      <c r="C211" s="17" t="s">
        <v>1240</v>
      </c>
      <c r="D211" s="17" t="s">
        <v>1241</v>
      </c>
      <c r="E211" s="19" t="s">
        <v>30</v>
      </c>
      <c r="F211" s="17" t="s">
        <v>1242</v>
      </c>
      <c r="G211" s="17" t="s">
        <v>1243</v>
      </c>
      <c r="H211" s="19">
        <v>9.727344044E9</v>
      </c>
      <c r="I211" s="19" t="s">
        <v>33</v>
      </c>
      <c r="J211" s="19" t="s">
        <v>357</v>
      </c>
      <c r="K211" s="19">
        <v>1196.0</v>
      </c>
      <c r="L211" s="19" t="s">
        <v>1020</v>
      </c>
      <c r="M211" s="19" t="s">
        <v>45</v>
      </c>
      <c r="N211" s="21" t="s">
        <v>58</v>
      </c>
      <c r="O211" s="19" t="s">
        <v>153</v>
      </c>
      <c r="P211" s="19" t="s">
        <v>37</v>
      </c>
      <c r="Q211" s="18" t="s">
        <v>38</v>
      </c>
      <c r="R211" s="22">
        <v>50082.0</v>
      </c>
      <c r="S211" s="19" t="s">
        <v>441</v>
      </c>
      <c r="T211" s="19" t="s">
        <v>33</v>
      </c>
      <c r="U211" s="19" t="s">
        <v>33</v>
      </c>
      <c r="V211" s="23">
        <v>12721.0</v>
      </c>
      <c r="W211" s="23">
        <v>15011.0</v>
      </c>
      <c r="X211" s="19">
        <v>15011.0</v>
      </c>
      <c r="Y211" s="19">
        <v>15000.0</v>
      </c>
      <c r="Z211" s="14">
        <f t="shared" si="1"/>
        <v>11</v>
      </c>
      <c r="AA211" s="15">
        <f t="shared" si="2"/>
        <v>-11</v>
      </c>
      <c r="AB211" s="19" t="s">
        <v>39</v>
      </c>
      <c r="AC211" s="17" t="s">
        <v>1244</v>
      </c>
    </row>
    <row r="212">
      <c r="A212" s="17">
        <v>210.0</v>
      </c>
      <c r="B212" s="19" t="s">
        <v>1180</v>
      </c>
      <c r="C212" s="17" t="s">
        <v>1245</v>
      </c>
      <c r="D212" s="17" t="s">
        <v>1246</v>
      </c>
      <c r="E212" s="19" t="s">
        <v>75</v>
      </c>
      <c r="F212" s="17" t="s">
        <v>1247</v>
      </c>
      <c r="G212" s="17" t="s">
        <v>1248</v>
      </c>
      <c r="H212" s="19" t="s">
        <v>33</v>
      </c>
      <c r="I212" s="19" t="s">
        <v>33</v>
      </c>
      <c r="J212" s="19" t="s">
        <v>357</v>
      </c>
      <c r="K212" s="19">
        <v>125.0</v>
      </c>
      <c r="L212" s="19" t="s">
        <v>106</v>
      </c>
      <c r="M212" s="19" t="s">
        <v>574</v>
      </c>
      <c r="N212" s="21" t="s">
        <v>46</v>
      </c>
      <c r="O212" s="19" t="s">
        <v>36</v>
      </c>
      <c r="P212" s="19" t="s">
        <v>79</v>
      </c>
      <c r="Q212" s="18" t="s">
        <v>38</v>
      </c>
      <c r="R212" s="22">
        <v>48254.0</v>
      </c>
      <c r="S212" s="19" t="s">
        <v>441</v>
      </c>
      <c r="T212" s="19" t="s">
        <v>33</v>
      </c>
      <c r="U212" s="19" t="s">
        <v>33</v>
      </c>
      <c r="V212" s="23">
        <v>714.0</v>
      </c>
      <c r="W212" s="23">
        <v>842.52</v>
      </c>
      <c r="X212" s="19">
        <v>850.0</v>
      </c>
      <c r="Y212" s="19">
        <v>850.0</v>
      </c>
      <c r="Z212" s="14">
        <f t="shared" si="1"/>
        <v>-7.48</v>
      </c>
      <c r="AA212" s="15">
        <f t="shared" si="2"/>
        <v>0</v>
      </c>
      <c r="AB212" s="19" t="s">
        <v>39</v>
      </c>
      <c r="AC212" s="17" t="s">
        <v>1249</v>
      </c>
    </row>
    <row r="213">
      <c r="A213" s="17">
        <v>211.0</v>
      </c>
      <c r="B213" s="19" t="s">
        <v>1180</v>
      </c>
      <c r="C213" s="17" t="s">
        <v>1250</v>
      </c>
      <c r="D213" s="17" t="s">
        <v>1251</v>
      </c>
      <c r="E213" s="19" t="s">
        <v>30</v>
      </c>
      <c r="F213" s="17" t="s">
        <v>1252</v>
      </c>
      <c r="G213" s="17" t="s">
        <v>1253</v>
      </c>
      <c r="H213" s="19">
        <v>8.154095595E9</v>
      </c>
      <c r="I213" s="19">
        <v>9.724094337E9</v>
      </c>
      <c r="J213" s="19" t="s">
        <v>33</v>
      </c>
      <c r="K213" s="19">
        <v>1498.0</v>
      </c>
      <c r="L213" s="19" t="s">
        <v>708</v>
      </c>
      <c r="M213" s="19" t="s">
        <v>839</v>
      </c>
      <c r="N213" s="21" t="s">
        <v>46</v>
      </c>
      <c r="O213" s="19" t="s">
        <v>66</v>
      </c>
      <c r="P213" s="19" t="s">
        <v>37</v>
      </c>
      <c r="Q213" s="18" t="s">
        <v>38</v>
      </c>
      <c r="R213" s="19" t="s">
        <v>1254</v>
      </c>
      <c r="S213" s="19" t="s">
        <v>1255</v>
      </c>
      <c r="T213" s="19" t="s">
        <v>33</v>
      </c>
      <c r="U213" s="19" t="s">
        <v>33</v>
      </c>
      <c r="V213" s="23">
        <v>3416.0</v>
      </c>
      <c r="W213" s="23">
        <v>4031.0</v>
      </c>
      <c r="X213" s="19">
        <v>4000.0</v>
      </c>
      <c r="Y213" s="19">
        <v>4000.0</v>
      </c>
      <c r="Z213" s="14">
        <f t="shared" si="1"/>
        <v>31</v>
      </c>
      <c r="AA213" s="15">
        <f t="shared" si="2"/>
        <v>0</v>
      </c>
      <c r="AB213" s="19" t="s">
        <v>39</v>
      </c>
      <c r="AC213" s="17" t="s">
        <v>1256</v>
      </c>
    </row>
    <row r="214">
      <c r="A214" s="17">
        <v>212.0</v>
      </c>
      <c r="B214" s="19" t="s">
        <v>1180</v>
      </c>
      <c r="C214" s="17" t="s">
        <v>1257</v>
      </c>
      <c r="D214" s="17" t="s">
        <v>1258</v>
      </c>
      <c r="E214" s="19" t="s">
        <v>410</v>
      </c>
      <c r="F214" s="17" t="s">
        <v>1259</v>
      </c>
      <c r="G214" s="17" t="s">
        <v>1260</v>
      </c>
      <c r="H214" s="19">
        <v>8.20060483E9</v>
      </c>
      <c r="I214" s="19">
        <v>9.89814694E9</v>
      </c>
      <c r="J214" s="19" t="s">
        <v>33</v>
      </c>
      <c r="K214" s="19">
        <v>1197.0</v>
      </c>
      <c r="L214" s="19" t="s">
        <v>1020</v>
      </c>
      <c r="M214" s="19" t="s">
        <v>107</v>
      </c>
      <c r="N214" s="21" t="s">
        <v>58</v>
      </c>
      <c r="O214" s="19" t="s">
        <v>66</v>
      </c>
      <c r="P214" s="19" t="s">
        <v>60</v>
      </c>
      <c r="Q214" s="18" t="s">
        <v>38</v>
      </c>
      <c r="R214" s="22">
        <v>46023.0</v>
      </c>
      <c r="S214" s="19" t="s">
        <v>1093</v>
      </c>
      <c r="T214" s="22">
        <v>47120.0</v>
      </c>
      <c r="U214" s="19" t="s">
        <v>33</v>
      </c>
      <c r="V214" s="19">
        <v>14535.0</v>
      </c>
      <c r="W214" s="19">
        <v>17151.0</v>
      </c>
      <c r="X214" s="19">
        <v>17523.0</v>
      </c>
      <c r="Y214" s="19">
        <v>17000.0</v>
      </c>
      <c r="Z214" s="10">
        <f t="shared" si="1"/>
        <v>151</v>
      </c>
      <c r="AA214" s="15">
        <f t="shared" si="2"/>
        <v>-523</v>
      </c>
      <c r="AB214" s="19" t="s">
        <v>39</v>
      </c>
      <c r="AC214" s="17" t="s">
        <v>1261</v>
      </c>
    </row>
    <row r="215">
      <c r="A215" s="17">
        <v>213.0</v>
      </c>
      <c r="B215" s="19" t="s">
        <v>1180</v>
      </c>
      <c r="C215" s="17" t="s">
        <v>1262</v>
      </c>
      <c r="D215" s="17" t="s">
        <v>1263</v>
      </c>
      <c r="E215" s="19" t="s">
        <v>88</v>
      </c>
      <c r="F215" s="17" t="s">
        <v>1264</v>
      </c>
      <c r="G215" s="17" t="s">
        <v>1265</v>
      </c>
      <c r="H215" s="19" t="s">
        <v>1266</v>
      </c>
      <c r="I215" s="19" t="s">
        <v>33</v>
      </c>
      <c r="J215" s="19" t="s">
        <v>33</v>
      </c>
      <c r="K215" s="19">
        <v>35000.0</v>
      </c>
      <c r="L215" s="19" t="s">
        <v>106</v>
      </c>
      <c r="M215" s="19" t="s">
        <v>92</v>
      </c>
      <c r="N215" s="21" t="s">
        <v>46</v>
      </c>
      <c r="O215" s="19" t="s">
        <v>36</v>
      </c>
      <c r="P215" s="19" t="s">
        <v>79</v>
      </c>
      <c r="Q215" s="18" t="s">
        <v>38</v>
      </c>
      <c r="R215" s="22">
        <v>46065.0</v>
      </c>
      <c r="S215" s="22">
        <v>46055.0</v>
      </c>
      <c r="T215" s="19" t="s">
        <v>1267</v>
      </c>
      <c r="U215" s="19" t="s">
        <v>33</v>
      </c>
      <c r="V215" s="23">
        <v>44050.0</v>
      </c>
      <c r="W215" s="23">
        <v>46266.0</v>
      </c>
      <c r="X215" s="19">
        <v>29000.0</v>
      </c>
      <c r="Y215" s="19">
        <v>29000.0</v>
      </c>
      <c r="Z215" s="14">
        <f t="shared" si="1"/>
        <v>17266</v>
      </c>
      <c r="AA215" s="15">
        <f t="shared" si="2"/>
        <v>0</v>
      </c>
      <c r="AB215" s="19" t="s">
        <v>39</v>
      </c>
      <c r="AC215" s="17" t="s">
        <v>1268</v>
      </c>
    </row>
    <row r="216">
      <c r="A216" s="17">
        <v>214.0</v>
      </c>
      <c r="B216" s="19" t="s">
        <v>1180</v>
      </c>
      <c r="C216" s="17" t="s">
        <v>1269</v>
      </c>
      <c r="D216" s="17" t="s">
        <v>1270</v>
      </c>
      <c r="E216" s="19" t="s">
        <v>52</v>
      </c>
      <c r="F216" s="17" t="s">
        <v>388</v>
      </c>
      <c r="G216" s="17" t="s">
        <v>1271</v>
      </c>
      <c r="H216" s="19">
        <v>8.23871989E9</v>
      </c>
      <c r="I216" s="19">
        <v>9.016703591E9</v>
      </c>
      <c r="J216" s="19" t="s">
        <v>33</v>
      </c>
      <c r="K216" s="19">
        <v>3490.0</v>
      </c>
      <c r="L216" s="19" t="s">
        <v>1020</v>
      </c>
      <c r="M216" s="19" t="s">
        <v>57</v>
      </c>
      <c r="N216" s="21" t="s">
        <v>58</v>
      </c>
      <c r="O216" s="19" t="s">
        <v>424</v>
      </c>
      <c r="P216" s="19" t="s">
        <v>60</v>
      </c>
      <c r="Q216" s="18" t="s">
        <v>38</v>
      </c>
      <c r="R216" s="22">
        <v>45850.0</v>
      </c>
      <c r="S216" s="19" t="s">
        <v>611</v>
      </c>
      <c r="T216" s="19" t="s">
        <v>1272</v>
      </c>
      <c r="U216" s="19" t="s">
        <v>33</v>
      </c>
      <c r="V216" s="23">
        <v>21483.0</v>
      </c>
      <c r="W216" s="23">
        <v>23250.0</v>
      </c>
      <c r="X216" s="19">
        <v>15108.0</v>
      </c>
      <c r="Y216" s="19">
        <v>15500.0</v>
      </c>
      <c r="Z216" s="14">
        <f t="shared" si="1"/>
        <v>7750</v>
      </c>
      <c r="AA216" s="15">
        <f t="shared" si="2"/>
        <v>392</v>
      </c>
      <c r="AB216" s="19" t="s">
        <v>39</v>
      </c>
      <c r="AC216" s="17" t="s">
        <v>1273</v>
      </c>
    </row>
    <row r="217">
      <c r="A217" s="26">
        <v>215.0</v>
      </c>
      <c r="B217" s="19" t="s">
        <v>1274</v>
      </c>
      <c r="C217" s="17" t="s">
        <v>1275</v>
      </c>
      <c r="D217" s="17" t="s">
        <v>1276</v>
      </c>
      <c r="E217" s="19" t="s">
        <v>52</v>
      </c>
      <c r="F217" s="17" t="s">
        <v>1277</v>
      </c>
      <c r="G217" s="17" t="s">
        <v>1278</v>
      </c>
      <c r="H217" s="19">
        <v>9.724127832E9</v>
      </c>
      <c r="I217" s="19">
        <v>9.081285722E9</v>
      </c>
      <c r="J217" s="19" t="s">
        <v>55</v>
      </c>
      <c r="K217" s="19">
        <v>1600.0</v>
      </c>
      <c r="L217" s="19" t="s">
        <v>106</v>
      </c>
      <c r="M217" s="19" t="s">
        <v>107</v>
      </c>
      <c r="N217" s="21" t="s">
        <v>58</v>
      </c>
      <c r="O217" s="19" t="s">
        <v>209</v>
      </c>
      <c r="P217" s="19" t="s">
        <v>60</v>
      </c>
      <c r="Q217" s="18" t="s">
        <v>38</v>
      </c>
      <c r="R217" s="22">
        <v>46296.0</v>
      </c>
      <c r="S217" s="19" t="s">
        <v>441</v>
      </c>
      <c r="T217" s="19" t="s">
        <v>33</v>
      </c>
      <c r="U217" s="19" t="s">
        <v>33</v>
      </c>
      <c r="V217" s="23">
        <v>20416.0</v>
      </c>
      <c r="W217" s="23">
        <v>22005.0</v>
      </c>
      <c r="X217" s="19">
        <v>14421.0</v>
      </c>
      <c r="Y217" s="19">
        <v>14500.0</v>
      </c>
      <c r="Z217" s="14">
        <f t="shared" si="1"/>
        <v>7505</v>
      </c>
      <c r="AA217" s="15">
        <f t="shared" si="2"/>
        <v>79</v>
      </c>
      <c r="AB217" s="19" t="s">
        <v>39</v>
      </c>
      <c r="AC217" s="17" t="s">
        <v>1279</v>
      </c>
    </row>
    <row r="218">
      <c r="A218" s="17">
        <v>216.0</v>
      </c>
      <c r="B218" s="19" t="s">
        <v>1274</v>
      </c>
      <c r="C218" s="17" t="s">
        <v>1280</v>
      </c>
      <c r="D218" s="17" t="s">
        <v>1281</v>
      </c>
      <c r="E218" s="52" t="s">
        <v>410</v>
      </c>
      <c r="F218" s="17" t="s">
        <v>1282</v>
      </c>
      <c r="G218" s="17" t="s">
        <v>1283</v>
      </c>
      <c r="H218" s="19">
        <v>6.353654697E9</v>
      </c>
      <c r="I218" s="19">
        <v>8.000812165E9</v>
      </c>
      <c r="J218" s="19" t="s">
        <v>33</v>
      </c>
      <c r="K218" s="19">
        <v>1197.0</v>
      </c>
      <c r="L218" s="19" t="s">
        <v>708</v>
      </c>
      <c r="M218" s="19" t="s">
        <v>107</v>
      </c>
      <c r="N218" s="21" t="s">
        <v>58</v>
      </c>
      <c r="O218" s="19" t="s">
        <v>66</v>
      </c>
      <c r="P218" s="19" t="s">
        <v>60</v>
      </c>
      <c r="Q218" s="18" t="s">
        <v>38</v>
      </c>
      <c r="R218" s="22">
        <v>46358.0</v>
      </c>
      <c r="S218" s="19" t="s">
        <v>1284</v>
      </c>
      <c r="T218" s="22">
        <v>46601.0</v>
      </c>
      <c r="U218" s="19" t="s">
        <v>33</v>
      </c>
      <c r="V218" s="23">
        <v>20251.0</v>
      </c>
      <c r="W218" s="23">
        <v>23897.0</v>
      </c>
      <c r="X218" s="19">
        <v>22598.0</v>
      </c>
      <c r="Y218" s="19">
        <v>22000.0</v>
      </c>
      <c r="Z218" s="14">
        <f t="shared" si="1"/>
        <v>1897</v>
      </c>
      <c r="AA218" s="15">
        <f t="shared" si="2"/>
        <v>-598</v>
      </c>
      <c r="AB218" s="19" t="s">
        <v>39</v>
      </c>
      <c r="AC218" s="17" t="s">
        <v>1285</v>
      </c>
    </row>
    <row r="219">
      <c r="A219" s="17">
        <v>217.0</v>
      </c>
      <c r="B219" s="19" t="s">
        <v>1274</v>
      </c>
      <c r="C219" s="17" t="s">
        <v>1286</v>
      </c>
      <c r="D219" s="17" t="s">
        <v>1287</v>
      </c>
      <c r="E219" s="19" t="s">
        <v>88</v>
      </c>
      <c r="F219" s="17" t="s">
        <v>276</v>
      </c>
      <c r="G219" s="17" t="s">
        <v>1288</v>
      </c>
      <c r="H219" s="19">
        <v>9.106490604E9</v>
      </c>
      <c r="I219" s="19">
        <v>9.979642929E9</v>
      </c>
      <c r="J219" s="19" t="s">
        <v>33</v>
      </c>
      <c r="K219" s="19">
        <v>28000.0</v>
      </c>
      <c r="L219" s="19" t="s">
        <v>708</v>
      </c>
      <c r="M219" s="19" t="s">
        <v>57</v>
      </c>
      <c r="N219" s="21" t="s">
        <v>58</v>
      </c>
      <c r="O219" s="19" t="s">
        <v>66</v>
      </c>
      <c r="P219" s="19" t="s">
        <v>60</v>
      </c>
      <c r="Q219" s="18" t="s">
        <v>38</v>
      </c>
      <c r="R219" s="19" t="s">
        <v>482</v>
      </c>
      <c r="S219" s="19" t="s">
        <v>1289</v>
      </c>
      <c r="T219" s="19" t="s">
        <v>1290</v>
      </c>
      <c r="U219" s="19" t="s">
        <v>33</v>
      </c>
      <c r="V219" s="23">
        <v>47909.0</v>
      </c>
      <c r="W219" s="23">
        <v>50807.0</v>
      </c>
      <c r="X219" s="19">
        <v>38500.0</v>
      </c>
      <c r="Y219" s="19">
        <v>38500.0</v>
      </c>
      <c r="Z219" s="14">
        <f t="shared" si="1"/>
        <v>12307</v>
      </c>
      <c r="AA219" s="15">
        <f t="shared" si="2"/>
        <v>0</v>
      </c>
      <c r="AB219" s="19" t="s">
        <v>39</v>
      </c>
      <c r="AC219" s="17" t="s">
        <v>1291</v>
      </c>
    </row>
    <row r="220">
      <c r="A220" s="17">
        <v>218.0</v>
      </c>
      <c r="B220" s="19" t="s">
        <v>1274</v>
      </c>
      <c r="C220" s="17" t="s">
        <v>1292</v>
      </c>
      <c r="D220" s="17" t="s">
        <v>1293</v>
      </c>
      <c r="E220" s="19" t="s">
        <v>269</v>
      </c>
      <c r="F220" s="17" t="s">
        <v>1294</v>
      </c>
      <c r="G220" s="17" t="s">
        <v>1295</v>
      </c>
      <c r="H220" s="19" t="s">
        <v>1296</v>
      </c>
      <c r="I220" s="19" t="s">
        <v>33</v>
      </c>
      <c r="J220" s="19" t="s">
        <v>33</v>
      </c>
      <c r="K220" s="19">
        <v>10700.0</v>
      </c>
      <c r="L220" s="19" t="s">
        <v>1020</v>
      </c>
      <c r="M220" s="19" t="s">
        <v>807</v>
      </c>
      <c r="N220" s="21" t="s">
        <v>58</v>
      </c>
      <c r="O220" s="19" t="s">
        <v>119</v>
      </c>
      <c r="P220" s="19" t="s">
        <v>60</v>
      </c>
      <c r="Q220" s="18" t="s">
        <v>38</v>
      </c>
      <c r="R220" s="19" t="s">
        <v>441</v>
      </c>
      <c r="S220" s="19" t="s">
        <v>978</v>
      </c>
      <c r="T220" s="19" t="s">
        <v>816</v>
      </c>
      <c r="U220" s="19" t="s">
        <v>33</v>
      </c>
      <c r="V220" s="23">
        <v>34106.0</v>
      </c>
      <c r="W220" s="23">
        <v>36711.0</v>
      </c>
      <c r="X220" s="19">
        <v>32191.0</v>
      </c>
      <c r="Y220" s="19">
        <v>32500.0</v>
      </c>
      <c r="Z220" s="14">
        <f t="shared" si="1"/>
        <v>4211</v>
      </c>
      <c r="AA220" s="15">
        <f t="shared" si="2"/>
        <v>309</v>
      </c>
      <c r="AB220" s="19" t="s">
        <v>39</v>
      </c>
      <c r="AC220" s="17" t="s">
        <v>1297</v>
      </c>
    </row>
    <row r="221">
      <c r="A221" s="17">
        <v>219.0</v>
      </c>
      <c r="B221" s="19" t="s">
        <v>1298</v>
      </c>
      <c r="C221" s="17" t="s">
        <v>1299</v>
      </c>
      <c r="D221" s="17" t="s">
        <v>1300</v>
      </c>
      <c r="E221" s="19" t="s">
        <v>88</v>
      </c>
      <c r="F221" s="17" t="s">
        <v>1155</v>
      </c>
      <c r="G221" s="17" t="s">
        <v>1301</v>
      </c>
      <c r="H221" s="19">
        <v>9.979600037E9</v>
      </c>
      <c r="I221" s="19" t="s">
        <v>33</v>
      </c>
      <c r="J221" s="19" t="s">
        <v>33</v>
      </c>
      <c r="K221" s="19">
        <v>28000.0</v>
      </c>
      <c r="L221" s="19" t="s">
        <v>1302</v>
      </c>
      <c r="M221" s="19" t="s">
        <v>92</v>
      </c>
      <c r="N221" s="21" t="s">
        <v>46</v>
      </c>
      <c r="O221" s="19" t="s">
        <v>66</v>
      </c>
      <c r="P221" s="19" t="s">
        <v>79</v>
      </c>
      <c r="Q221" s="18" t="s">
        <v>38</v>
      </c>
      <c r="R221" s="22">
        <v>46364.0</v>
      </c>
      <c r="S221" s="19" t="s">
        <v>1303</v>
      </c>
      <c r="T221" s="19" t="s">
        <v>1304</v>
      </c>
      <c r="U221" s="19" t="s">
        <v>33</v>
      </c>
      <c r="V221" s="19">
        <v>44100.0</v>
      </c>
      <c r="W221" s="19">
        <v>46325.0</v>
      </c>
      <c r="X221" s="19">
        <v>26500.0</v>
      </c>
      <c r="Y221" s="19">
        <v>26500.0</v>
      </c>
      <c r="Z221" s="10">
        <f t="shared" si="1"/>
        <v>19825</v>
      </c>
      <c r="AA221" s="15">
        <f t="shared" si="2"/>
        <v>0</v>
      </c>
      <c r="AB221" s="19" t="s">
        <v>39</v>
      </c>
      <c r="AC221" s="17" t="s">
        <v>1305</v>
      </c>
    </row>
    <row r="222">
      <c r="A222" s="17">
        <v>220.0</v>
      </c>
      <c r="B222" s="19" t="s">
        <v>1298</v>
      </c>
      <c r="C222" s="17" t="s">
        <v>1306</v>
      </c>
      <c r="D222" s="17" t="s">
        <v>1307</v>
      </c>
      <c r="E222" s="19" t="s">
        <v>88</v>
      </c>
      <c r="F222" s="17" t="s">
        <v>1308</v>
      </c>
      <c r="G222" s="17" t="s">
        <v>1309</v>
      </c>
      <c r="H222" s="19">
        <v>9.909617917E9</v>
      </c>
      <c r="I222" s="19">
        <v>9.909081678E9</v>
      </c>
      <c r="J222" s="19" t="s">
        <v>33</v>
      </c>
      <c r="K222" s="19">
        <v>16020.0</v>
      </c>
      <c r="L222" s="19" t="s">
        <v>1310</v>
      </c>
      <c r="M222" s="19" t="s">
        <v>591</v>
      </c>
      <c r="N222" s="21" t="s">
        <v>58</v>
      </c>
      <c r="O222" s="19" t="s">
        <v>66</v>
      </c>
      <c r="P222" s="19" t="s">
        <v>79</v>
      </c>
      <c r="Q222" s="18" t="s">
        <v>38</v>
      </c>
      <c r="R222" s="19" t="s">
        <v>1311</v>
      </c>
      <c r="S222" s="22">
        <v>46084.0</v>
      </c>
      <c r="T222" s="19" t="s">
        <v>1312</v>
      </c>
      <c r="U222" s="19" t="s">
        <v>33</v>
      </c>
      <c r="V222" s="23">
        <v>38175.0</v>
      </c>
      <c r="W222" s="23">
        <v>40455.82</v>
      </c>
      <c r="X222" s="19">
        <v>34283.0</v>
      </c>
      <c r="Y222" s="19">
        <v>33000.0</v>
      </c>
      <c r="Z222" s="14">
        <f t="shared" si="1"/>
        <v>7455.82</v>
      </c>
      <c r="AA222" s="15">
        <f t="shared" si="2"/>
        <v>-1283</v>
      </c>
      <c r="AB222" s="19" t="s">
        <v>39</v>
      </c>
      <c r="AC222" s="17" t="s">
        <v>1313</v>
      </c>
    </row>
    <row r="223">
      <c r="A223" s="17">
        <v>221.0</v>
      </c>
      <c r="B223" s="19" t="s">
        <v>1298</v>
      </c>
      <c r="C223" s="17" t="s">
        <v>1314</v>
      </c>
      <c r="D223" s="17" t="s">
        <v>1315</v>
      </c>
      <c r="E223" s="19" t="s">
        <v>52</v>
      </c>
      <c r="F223" s="17" t="s">
        <v>1316</v>
      </c>
      <c r="G223" s="17" t="s">
        <v>1317</v>
      </c>
      <c r="H223" s="19">
        <v>9.427262896E9</v>
      </c>
      <c r="I223" s="19">
        <v>8.866362896E9</v>
      </c>
      <c r="J223" s="19" t="s">
        <v>33</v>
      </c>
      <c r="K223" s="19">
        <v>3490.0</v>
      </c>
      <c r="L223" s="19" t="s">
        <v>1318</v>
      </c>
      <c r="M223" s="19" t="s">
        <v>57</v>
      </c>
      <c r="N223" s="21" t="s">
        <v>58</v>
      </c>
      <c r="O223" s="19" t="s">
        <v>66</v>
      </c>
      <c r="P223" s="19" t="s">
        <v>60</v>
      </c>
      <c r="Q223" s="18" t="s">
        <v>38</v>
      </c>
      <c r="R223" s="22">
        <v>46509.0</v>
      </c>
      <c r="S223" s="22">
        <v>46024.0</v>
      </c>
      <c r="T223" s="19" t="s">
        <v>1319</v>
      </c>
      <c r="U223" s="19" t="s">
        <v>33</v>
      </c>
      <c r="V223" s="23">
        <v>19841.0</v>
      </c>
      <c r="W223" s="23">
        <v>21315.0</v>
      </c>
      <c r="X223" s="19">
        <v>14145.0</v>
      </c>
      <c r="Y223" s="19">
        <v>14000.0</v>
      </c>
      <c r="Z223" s="14">
        <f t="shared" si="1"/>
        <v>7315</v>
      </c>
      <c r="AA223" s="15">
        <f t="shared" si="2"/>
        <v>-145</v>
      </c>
      <c r="AB223" s="19" t="s">
        <v>39</v>
      </c>
      <c r="AC223" s="17" t="s">
        <v>1320</v>
      </c>
    </row>
    <row r="224">
      <c r="A224" s="17">
        <v>222.0</v>
      </c>
      <c r="B224" s="19" t="s">
        <v>1298</v>
      </c>
      <c r="C224" s="17" t="s">
        <v>1321</v>
      </c>
      <c r="D224" s="17" t="s">
        <v>1322</v>
      </c>
      <c r="E224" s="19" t="s">
        <v>102</v>
      </c>
      <c r="F224" s="17" t="s">
        <v>1323</v>
      </c>
      <c r="G224" s="17" t="s">
        <v>1324</v>
      </c>
      <c r="H224" s="19">
        <v>9.687905881E9</v>
      </c>
      <c r="I224" s="19">
        <v>6.351326966E9</v>
      </c>
      <c r="J224" s="19" t="s">
        <v>33</v>
      </c>
      <c r="K224" s="19">
        <v>780.0</v>
      </c>
      <c r="L224" s="19" t="s">
        <v>708</v>
      </c>
      <c r="M224" s="19" t="s">
        <v>107</v>
      </c>
      <c r="N224" s="21" t="s">
        <v>58</v>
      </c>
      <c r="O224" s="19" t="s">
        <v>209</v>
      </c>
      <c r="P224" s="19" t="s">
        <v>60</v>
      </c>
      <c r="Q224" s="18" t="s">
        <v>38</v>
      </c>
      <c r="R224" s="19" t="s">
        <v>1325</v>
      </c>
      <c r="S224" s="22">
        <v>46115.0</v>
      </c>
      <c r="T224" s="19" t="s">
        <v>33</v>
      </c>
      <c r="U224" s="19" t="s">
        <v>33</v>
      </c>
      <c r="V224" s="19">
        <v>7487.0</v>
      </c>
      <c r="W224" s="19">
        <v>8835.0</v>
      </c>
      <c r="X224" s="19">
        <v>7500.0</v>
      </c>
      <c r="Y224" s="19">
        <v>7500.0</v>
      </c>
      <c r="Z224" s="10">
        <f t="shared" si="1"/>
        <v>1335</v>
      </c>
      <c r="AA224" s="15">
        <f t="shared" si="2"/>
        <v>0</v>
      </c>
      <c r="AB224" s="19" t="s">
        <v>39</v>
      </c>
      <c r="AC224" s="17" t="s">
        <v>1326</v>
      </c>
    </row>
    <row r="225">
      <c r="A225" s="17">
        <v>223.0</v>
      </c>
      <c r="B225" s="19" t="s">
        <v>1298</v>
      </c>
      <c r="C225" s="17" t="s">
        <v>1327</v>
      </c>
      <c r="D225" s="17" t="s">
        <v>1328</v>
      </c>
      <c r="E225" s="19" t="s">
        <v>102</v>
      </c>
      <c r="F225" s="17" t="s">
        <v>111</v>
      </c>
      <c r="G225" s="17" t="s">
        <v>1329</v>
      </c>
      <c r="H225" s="19">
        <v>7.434044821E9</v>
      </c>
      <c r="I225" s="19">
        <v>9.727403995E9</v>
      </c>
      <c r="J225" s="19" t="s">
        <v>33</v>
      </c>
      <c r="K225" s="19">
        <v>818.0</v>
      </c>
      <c r="L225" s="19" t="s">
        <v>708</v>
      </c>
      <c r="M225" s="19" t="s">
        <v>107</v>
      </c>
      <c r="N225" s="21" t="s">
        <v>58</v>
      </c>
      <c r="O225" s="19" t="s">
        <v>209</v>
      </c>
      <c r="P225" s="19" t="s">
        <v>60</v>
      </c>
      <c r="Q225" s="18" t="s">
        <v>38</v>
      </c>
      <c r="R225" s="22">
        <v>46357.0</v>
      </c>
      <c r="S225" s="22">
        <v>46088.0</v>
      </c>
      <c r="T225" s="19" t="s">
        <v>1289</v>
      </c>
      <c r="U225" s="19" t="s">
        <v>33</v>
      </c>
      <c r="V225" s="19">
        <v>6436.0</v>
      </c>
      <c r="W225" s="19">
        <v>7594.0</v>
      </c>
      <c r="X225" s="19">
        <v>6500.0</v>
      </c>
      <c r="Y225" s="19">
        <v>6500.0</v>
      </c>
      <c r="Z225" s="10">
        <f t="shared" si="1"/>
        <v>1094</v>
      </c>
      <c r="AA225" s="15">
        <f t="shared" si="2"/>
        <v>0</v>
      </c>
      <c r="AB225" s="19" t="s">
        <v>39</v>
      </c>
      <c r="AC225" s="17" t="s">
        <v>1330</v>
      </c>
    </row>
    <row r="226">
      <c r="A226" s="17">
        <v>224.0</v>
      </c>
      <c r="B226" s="19" t="s">
        <v>1298</v>
      </c>
      <c r="C226" s="17" t="s">
        <v>1331</v>
      </c>
      <c r="D226" s="17" t="s">
        <v>1332</v>
      </c>
      <c r="E226" s="19" t="s">
        <v>102</v>
      </c>
      <c r="F226" s="17" t="s">
        <v>111</v>
      </c>
      <c r="G226" s="17" t="s">
        <v>1333</v>
      </c>
      <c r="H226" s="19" t="s">
        <v>1334</v>
      </c>
      <c r="I226" s="19">
        <v>9.081427E9</v>
      </c>
      <c r="J226" s="19" t="s">
        <v>105</v>
      </c>
      <c r="K226" s="19">
        <v>818.0</v>
      </c>
      <c r="L226" s="19" t="s">
        <v>1302</v>
      </c>
      <c r="M226" s="19" t="s">
        <v>107</v>
      </c>
      <c r="N226" s="21" t="s">
        <v>58</v>
      </c>
      <c r="O226" s="19" t="s">
        <v>66</v>
      </c>
      <c r="P226" s="19" t="s">
        <v>60</v>
      </c>
      <c r="Q226" s="18" t="s">
        <v>38</v>
      </c>
      <c r="R226" s="19" t="s">
        <v>1335</v>
      </c>
      <c r="S226" s="19" t="s">
        <v>1303</v>
      </c>
      <c r="T226" s="19" t="s">
        <v>1021</v>
      </c>
      <c r="U226" s="19" t="s">
        <v>33</v>
      </c>
      <c r="V226" s="19">
        <v>6682.0</v>
      </c>
      <c r="W226" s="19">
        <v>7885.0</v>
      </c>
      <c r="X226" s="19">
        <v>6500.0</v>
      </c>
      <c r="Y226" s="19">
        <v>6000.0</v>
      </c>
      <c r="Z226" s="10">
        <f t="shared" si="1"/>
        <v>1885</v>
      </c>
      <c r="AA226" s="15">
        <f t="shared" si="2"/>
        <v>-500</v>
      </c>
      <c r="AB226" s="19" t="s">
        <v>39</v>
      </c>
      <c r="AC226" s="17" t="s">
        <v>1336</v>
      </c>
    </row>
    <row r="227">
      <c r="A227" s="17">
        <v>225.0</v>
      </c>
      <c r="B227" s="19" t="s">
        <v>1298</v>
      </c>
      <c r="C227" s="17" t="s">
        <v>1337</v>
      </c>
      <c r="D227" s="17" t="s">
        <v>1338</v>
      </c>
      <c r="E227" s="19" t="s">
        <v>102</v>
      </c>
      <c r="F227" s="17" t="s">
        <v>111</v>
      </c>
      <c r="G227" s="17" t="s">
        <v>1339</v>
      </c>
      <c r="H227" s="19">
        <v>6.354798379E9</v>
      </c>
      <c r="I227" s="19">
        <v>9.016100517E9</v>
      </c>
      <c r="J227" s="19" t="s">
        <v>33</v>
      </c>
      <c r="K227" s="19">
        <v>818.0</v>
      </c>
      <c r="L227" s="19" t="s">
        <v>708</v>
      </c>
      <c r="M227" s="19" t="s">
        <v>107</v>
      </c>
      <c r="N227" s="21" t="s">
        <v>58</v>
      </c>
      <c r="O227" s="19" t="s">
        <v>431</v>
      </c>
      <c r="P227" s="19" t="s">
        <v>60</v>
      </c>
      <c r="Q227" s="18" t="s">
        <v>38</v>
      </c>
      <c r="R227" s="19" t="s">
        <v>846</v>
      </c>
      <c r="S227" s="19" t="s">
        <v>1032</v>
      </c>
      <c r="T227" s="19" t="s">
        <v>384</v>
      </c>
      <c r="U227" s="19" t="s">
        <v>33</v>
      </c>
      <c r="V227" s="19">
        <v>6905.0</v>
      </c>
      <c r="W227" s="23">
        <v>8148.0</v>
      </c>
      <c r="X227" s="19">
        <v>6500.0</v>
      </c>
      <c r="Y227" s="19">
        <v>6500.0</v>
      </c>
      <c r="Z227" s="14">
        <f t="shared" si="1"/>
        <v>1648</v>
      </c>
      <c r="AA227" s="15">
        <f t="shared" si="2"/>
        <v>0</v>
      </c>
      <c r="AB227" s="19" t="s">
        <v>39</v>
      </c>
      <c r="AC227" s="17" t="s">
        <v>1340</v>
      </c>
    </row>
    <row r="228">
      <c r="A228" s="17">
        <v>226.0</v>
      </c>
      <c r="B228" s="19" t="s">
        <v>1298</v>
      </c>
      <c r="C228" s="17" t="s">
        <v>1341</v>
      </c>
      <c r="D228" s="17" t="s">
        <v>1342</v>
      </c>
      <c r="E228" s="19" t="s">
        <v>102</v>
      </c>
      <c r="F228" s="17" t="s">
        <v>111</v>
      </c>
      <c r="G228" s="17" t="s">
        <v>1343</v>
      </c>
      <c r="H228" s="19">
        <v>8.32098033E9</v>
      </c>
      <c r="I228" s="19">
        <v>9.904630495E9</v>
      </c>
      <c r="J228" s="19" t="s">
        <v>33</v>
      </c>
      <c r="K228" s="19">
        <v>818.0</v>
      </c>
      <c r="L228" s="19" t="s">
        <v>208</v>
      </c>
      <c r="M228" s="19" t="s">
        <v>107</v>
      </c>
      <c r="N228" s="21" t="s">
        <v>58</v>
      </c>
      <c r="O228" s="19" t="s">
        <v>424</v>
      </c>
      <c r="P228" s="19" t="s">
        <v>60</v>
      </c>
      <c r="Q228" s="18" t="s">
        <v>38</v>
      </c>
      <c r="R228" s="19" t="s">
        <v>210</v>
      </c>
      <c r="S228" s="19" t="s">
        <v>211</v>
      </c>
      <c r="T228" s="19" t="s">
        <v>212</v>
      </c>
      <c r="U228" s="19" t="s">
        <v>33</v>
      </c>
      <c r="V228" s="23">
        <v>7338.0</v>
      </c>
      <c r="W228" s="23">
        <v>8659.0</v>
      </c>
      <c r="X228" s="19">
        <v>7500.0</v>
      </c>
      <c r="Y228" s="19">
        <v>7500.0</v>
      </c>
      <c r="Z228" s="14">
        <f t="shared" si="1"/>
        <v>1159</v>
      </c>
      <c r="AA228" s="15">
        <f t="shared" si="2"/>
        <v>0</v>
      </c>
      <c r="AB228" s="19" t="s">
        <v>39</v>
      </c>
      <c r="AC228" s="17" t="s">
        <v>1344</v>
      </c>
    </row>
    <row r="229">
      <c r="A229" s="17">
        <v>227.0</v>
      </c>
      <c r="B229" s="19" t="s">
        <v>1298</v>
      </c>
      <c r="C229" s="17" t="s">
        <v>1345</v>
      </c>
      <c r="D229" s="17" t="s">
        <v>1346</v>
      </c>
      <c r="E229" s="19" t="s">
        <v>167</v>
      </c>
      <c r="F229" s="17" t="s">
        <v>1347</v>
      </c>
      <c r="G229" s="17" t="s">
        <v>1348</v>
      </c>
      <c r="H229" s="19">
        <v>8.469427364E9</v>
      </c>
      <c r="I229" s="19" t="s">
        <v>1349</v>
      </c>
      <c r="J229" s="19" t="s">
        <v>1350</v>
      </c>
      <c r="K229" s="19">
        <v>870.0</v>
      </c>
      <c r="L229" s="19" t="s">
        <v>1302</v>
      </c>
      <c r="M229" s="19" t="s">
        <v>152</v>
      </c>
      <c r="N229" s="21" t="s">
        <v>58</v>
      </c>
      <c r="O229" s="19" t="s">
        <v>209</v>
      </c>
      <c r="P229" s="19" t="s">
        <v>60</v>
      </c>
      <c r="Q229" s="18" t="s">
        <v>38</v>
      </c>
      <c r="R229" s="22">
        <v>43376.0</v>
      </c>
      <c r="S229" s="25">
        <v>45577.0</v>
      </c>
      <c r="T229" s="19" t="s">
        <v>33</v>
      </c>
      <c r="U229" s="19" t="s">
        <v>33</v>
      </c>
      <c r="V229" s="23">
        <v>5302.67</v>
      </c>
      <c r="W229" s="23">
        <v>5673.0</v>
      </c>
      <c r="X229" s="19">
        <v>5000.0</v>
      </c>
      <c r="Y229" s="19">
        <v>5000.0</v>
      </c>
      <c r="Z229" s="14">
        <f t="shared" si="1"/>
        <v>673</v>
      </c>
      <c r="AA229" s="15">
        <f t="shared" si="2"/>
        <v>0</v>
      </c>
      <c r="AB229" s="19" t="s">
        <v>39</v>
      </c>
      <c r="AC229" s="17" t="s">
        <v>1351</v>
      </c>
    </row>
    <row r="230">
      <c r="A230" s="17">
        <v>228.0</v>
      </c>
      <c r="B230" s="19" t="s">
        <v>1298</v>
      </c>
      <c r="C230" s="17" t="s">
        <v>1352</v>
      </c>
      <c r="D230" s="17" t="s">
        <v>1353</v>
      </c>
      <c r="E230" s="19" t="s">
        <v>167</v>
      </c>
      <c r="F230" s="17" t="s">
        <v>264</v>
      </c>
      <c r="G230" s="17" t="s">
        <v>1354</v>
      </c>
      <c r="H230" s="19">
        <v>9.870073364E9</v>
      </c>
      <c r="I230" s="19">
        <v>6.351227051E9</v>
      </c>
      <c r="J230" s="19" t="s">
        <v>33</v>
      </c>
      <c r="K230" s="19">
        <v>995.0</v>
      </c>
      <c r="L230" s="19" t="s">
        <v>1302</v>
      </c>
      <c r="M230" s="19" t="s">
        <v>152</v>
      </c>
      <c r="N230" s="21" t="s">
        <v>58</v>
      </c>
      <c r="O230" s="19" t="s">
        <v>129</v>
      </c>
      <c r="P230" s="19" t="s">
        <v>60</v>
      </c>
      <c r="Q230" s="18" t="s">
        <v>38</v>
      </c>
      <c r="R230" s="19" t="s">
        <v>441</v>
      </c>
      <c r="S230" s="19" t="s">
        <v>906</v>
      </c>
      <c r="T230" s="19" t="s">
        <v>33</v>
      </c>
      <c r="U230" s="19" t="s">
        <v>33</v>
      </c>
      <c r="V230" s="23">
        <v>5117.11</v>
      </c>
      <c r="W230" s="23">
        <v>5454.0</v>
      </c>
      <c r="X230" s="19">
        <v>5000.0</v>
      </c>
      <c r="Y230" s="19">
        <v>5000.0</v>
      </c>
      <c r="Z230" s="14">
        <f t="shared" si="1"/>
        <v>454</v>
      </c>
      <c r="AA230" s="15">
        <f t="shared" si="2"/>
        <v>0</v>
      </c>
      <c r="AB230" s="19" t="s">
        <v>39</v>
      </c>
      <c r="AC230" s="17" t="s">
        <v>1355</v>
      </c>
    </row>
    <row r="231">
      <c r="A231" s="17">
        <v>229.0</v>
      </c>
      <c r="B231" s="19" t="s">
        <v>1298</v>
      </c>
      <c r="C231" s="17" t="s">
        <v>1356</v>
      </c>
      <c r="D231" s="17" t="s">
        <v>1357</v>
      </c>
      <c r="E231" s="19" t="s">
        <v>167</v>
      </c>
      <c r="F231" s="17" t="s">
        <v>168</v>
      </c>
      <c r="G231" s="17" t="s">
        <v>1358</v>
      </c>
      <c r="H231" s="19">
        <v>9.537307732E9</v>
      </c>
      <c r="I231" s="19">
        <v>9.898265132E9</v>
      </c>
      <c r="J231" s="19" t="s">
        <v>33</v>
      </c>
      <c r="K231" s="19">
        <v>990.0</v>
      </c>
      <c r="L231" s="19" t="s">
        <v>208</v>
      </c>
      <c r="M231" s="19" t="s">
        <v>152</v>
      </c>
      <c r="N231" s="21" t="s">
        <v>58</v>
      </c>
      <c r="O231" s="19" t="s">
        <v>439</v>
      </c>
      <c r="P231" s="19" t="s">
        <v>60</v>
      </c>
      <c r="Q231" s="18" t="s">
        <v>38</v>
      </c>
      <c r="R231" s="19" t="s">
        <v>1200</v>
      </c>
      <c r="S231" s="22">
        <v>46478.0</v>
      </c>
      <c r="T231" s="19" t="s">
        <v>33</v>
      </c>
      <c r="U231" s="19" t="s">
        <v>33</v>
      </c>
      <c r="V231" s="23">
        <v>6505.93</v>
      </c>
      <c r="W231" s="23">
        <v>7093.0</v>
      </c>
      <c r="X231" s="19">
        <v>6000.0</v>
      </c>
      <c r="Y231" s="19">
        <v>6000.0</v>
      </c>
      <c r="Z231" s="14">
        <f t="shared" si="1"/>
        <v>1093</v>
      </c>
      <c r="AA231" s="15">
        <f t="shared" si="2"/>
        <v>0</v>
      </c>
      <c r="AB231" s="19" t="s">
        <v>39</v>
      </c>
      <c r="AC231" s="17" t="s">
        <v>1359</v>
      </c>
    </row>
    <row r="232">
      <c r="A232" s="17">
        <v>230.0</v>
      </c>
      <c r="B232" s="19" t="s">
        <v>1298</v>
      </c>
      <c r="C232" s="17" t="s">
        <v>1360</v>
      </c>
      <c r="D232" s="17" t="s">
        <v>1361</v>
      </c>
      <c r="E232" s="19" t="s">
        <v>269</v>
      </c>
      <c r="F232" s="17" t="s">
        <v>1155</v>
      </c>
      <c r="G232" s="17" t="s">
        <v>1362</v>
      </c>
      <c r="H232" s="19">
        <v>9.428888322E9</v>
      </c>
      <c r="I232" s="19">
        <v>8.530652325E9</v>
      </c>
      <c r="J232" s="19" t="s">
        <v>33</v>
      </c>
      <c r="K232" s="19">
        <v>11990.0</v>
      </c>
      <c r="L232" s="19" t="s">
        <v>1302</v>
      </c>
      <c r="M232" s="19" t="s">
        <v>92</v>
      </c>
      <c r="N232" s="21" t="s">
        <v>46</v>
      </c>
      <c r="O232" s="19" t="s">
        <v>153</v>
      </c>
      <c r="P232" s="19" t="s">
        <v>79</v>
      </c>
      <c r="Q232" s="18" t="s">
        <v>38</v>
      </c>
      <c r="R232" s="22">
        <v>46330.0</v>
      </c>
      <c r="S232" s="19" t="s">
        <v>940</v>
      </c>
      <c r="T232" s="19" t="s">
        <v>1363</v>
      </c>
      <c r="U232" s="19" t="s">
        <v>33</v>
      </c>
      <c r="V232" s="23">
        <v>27286.0</v>
      </c>
      <c r="W232" s="23">
        <v>28663.0</v>
      </c>
      <c r="X232" s="19">
        <v>21000.0</v>
      </c>
      <c r="Y232" s="19">
        <v>21000.0</v>
      </c>
      <c r="Z232" s="14">
        <f t="shared" si="1"/>
        <v>7663</v>
      </c>
      <c r="AA232" s="15">
        <f t="shared" si="2"/>
        <v>0</v>
      </c>
      <c r="AB232" s="19" t="s">
        <v>39</v>
      </c>
      <c r="AC232" s="17" t="s">
        <v>1364</v>
      </c>
    </row>
    <row r="233">
      <c r="A233" s="17">
        <v>231.0</v>
      </c>
      <c r="B233" s="19" t="s">
        <v>1298</v>
      </c>
      <c r="C233" s="17" t="s">
        <v>1365</v>
      </c>
      <c r="D233" s="17" t="s">
        <v>1366</v>
      </c>
      <c r="E233" s="19" t="s">
        <v>52</v>
      </c>
      <c r="F233" s="17" t="s">
        <v>1367</v>
      </c>
      <c r="G233" s="17" t="s">
        <v>1368</v>
      </c>
      <c r="H233" s="19">
        <v>9.727477891E9</v>
      </c>
      <c r="I233" s="19">
        <v>9.327712465E9</v>
      </c>
      <c r="J233" s="19" t="s">
        <v>33</v>
      </c>
      <c r="K233" s="19">
        <v>2995.0</v>
      </c>
      <c r="L233" s="19" t="s">
        <v>708</v>
      </c>
      <c r="M233" s="19" t="s">
        <v>57</v>
      </c>
      <c r="N233" s="21" t="s">
        <v>58</v>
      </c>
      <c r="O233" s="19" t="s">
        <v>66</v>
      </c>
      <c r="P233" s="19" t="s">
        <v>79</v>
      </c>
      <c r="Q233" s="18" t="s">
        <v>38</v>
      </c>
      <c r="R233" s="22">
        <v>46143.0</v>
      </c>
      <c r="S233" s="22">
        <v>45778.0</v>
      </c>
      <c r="T233" s="19" t="s">
        <v>33</v>
      </c>
      <c r="U233" s="19" t="s">
        <v>33</v>
      </c>
      <c r="V233" s="24">
        <v>20801.0</v>
      </c>
      <c r="W233" s="24">
        <v>22446.0</v>
      </c>
      <c r="X233" s="19">
        <v>15574.0</v>
      </c>
      <c r="Y233" s="19">
        <v>15500.0</v>
      </c>
      <c r="Z233" s="15">
        <f t="shared" si="1"/>
        <v>6946</v>
      </c>
      <c r="AA233" s="15">
        <f t="shared" si="2"/>
        <v>-74</v>
      </c>
      <c r="AB233" s="19" t="s">
        <v>39</v>
      </c>
      <c r="AC233" s="17" t="s">
        <v>1369</v>
      </c>
    </row>
    <row r="234">
      <c r="A234" s="17">
        <v>232.0</v>
      </c>
      <c r="B234" s="19" t="s">
        <v>1298</v>
      </c>
      <c r="C234" s="17" t="s">
        <v>1370</v>
      </c>
      <c r="D234" s="17" t="s">
        <v>1371</v>
      </c>
      <c r="E234" s="19" t="s">
        <v>52</v>
      </c>
      <c r="F234" s="17" t="s">
        <v>187</v>
      </c>
      <c r="G234" s="17" t="s">
        <v>1372</v>
      </c>
      <c r="H234" s="19">
        <v>7.226886961E9</v>
      </c>
      <c r="I234" s="19">
        <v>7.079546526E9</v>
      </c>
      <c r="J234" s="19" t="s">
        <v>357</v>
      </c>
      <c r="K234" s="19">
        <v>1600.0</v>
      </c>
      <c r="L234" s="19" t="s">
        <v>708</v>
      </c>
      <c r="M234" s="19" t="s">
        <v>189</v>
      </c>
      <c r="N234" s="21" t="s">
        <v>58</v>
      </c>
      <c r="O234" s="19" t="s">
        <v>66</v>
      </c>
      <c r="P234" s="19" t="s">
        <v>79</v>
      </c>
      <c r="Q234" s="18" t="s">
        <v>38</v>
      </c>
      <c r="R234" s="19" t="s">
        <v>503</v>
      </c>
      <c r="S234" s="19" t="s">
        <v>846</v>
      </c>
      <c r="T234" s="19" t="s">
        <v>33</v>
      </c>
      <c r="U234" s="19" t="s">
        <v>33</v>
      </c>
      <c r="V234" s="23">
        <v>20526.0</v>
      </c>
      <c r="W234" s="23">
        <v>22134.0</v>
      </c>
      <c r="X234" s="19">
        <v>14291.0</v>
      </c>
      <c r="Y234" s="19">
        <v>14500.0</v>
      </c>
      <c r="Z234" s="14">
        <f t="shared" si="1"/>
        <v>7634</v>
      </c>
      <c r="AA234" s="15">
        <f t="shared" si="2"/>
        <v>209</v>
      </c>
      <c r="AB234" s="19" t="s">
        <v>39</v>
      </c>
      <c r="AC234" s="17" t="s">
        <v>1373</v>
      </c>
    </row>
    <row r="235">
      <c r="A235" s="17">
        <v>233.0</v>
      </c>
      <c r="B235" s="19" t="s">
        <v>1298</v>
      </c>
      <c r="C235" s="17" t="s">
        <v>1374</v>
      </c>
      <c r="D235" s="17" t="s">
        <v>1375</v>
      </c>
      <c r="E235" s="19" t="s">
        <v>30</v>
      </c>
      <c r="F235" s="17" t="s">
        <v>1376</v>
      </c>
      <c r="G235" s="17" t="s">
        <v>1377</v>
      </c>
      <c r="H235" s="19">
        <v>9.879841947E9</v>
      </c>
      <c r="I235" s="19">
        <v>9.662347108E9</v>
      </c>
      <c r="J235" s="19" t="s">
        <v>33</v>
      </c>
      <c r="K235" s="19">
        <v>1197.0</v>
      </c>
      <c r="L235" s="19" t="s">
        <v>1302</v>
      </c>
      <c r="M235" s="19" t="s">
        <v>285</v>
      </c>
      <c r="N235" s="21" t="s">
        <v>35</v>
      </c>
      <c r="O235" s="19" t="s">
        <v>209</v>
      </c>
      <c r="P235" s="19" t="s">
        <v>37</v>
      </c>
      <c r="Q235" s="18" t="s">
        <v>38</v>
      </c>
      <c r="R235" s="19" t="s">
        <v>1378</v>
      </c>
      <c r="S235" s="19" t="s">
        <v>1379</v>
      </c>
      <c r="T235" s="19" t="s">
        <v>33</v>
      </c>
      <c r="U235" s="19" t="s">
        <v>33</v>
      </c>
      <c r="V235" s="24">
        <v>6985.0</v>
      </c>
      <c r="W235" s="23">
        <v>8242.0</v>
      </c>
      <c r="X235" s="19">
        <v>8242.0</v>
      </c>
      <c r="Y235" s="19">
        <v>8200.0</v>
      </c>
      <c r="Z235" s="14">
        <f t="shared" si="1"/>
        <v>42</v>
      </c>
      <c r="AA235" s="15">
        <f t="shared" si="2"/>
        <v>-42</v>
      </c>
      <c r="AB235" s="19" t="s">
        <v>39</v>
      </c>
      <c r="AC235" s="17" t="s">
        <v>1380</v>
      </c>
    </row>
    <row r="236">
      <c r="A236" s="26">
        <v>234.0</v>
      </c>
      <c r="B236" s="19" t="s">
        <v>1381</v>
      </c>
      <c r="C236" s="17" t="s">
        <v>1382</v>
      </c>
      <c r="D236" s="17" t="s">
        <v>1383</v>
      </c>
      <c r="E236" s="19" t="s">
        <v>102</v>
      </c>
      <c r="F236" s="17" t="s">
        <v>1384</v>
      </c>
      <c r="G236" s="17" t="s">
        <v>1385</v>
      </c>
      <c r="H236" s="19" t="s">
        <v>1386</v>
      </c>
      <c r="I236" s="19">
        <v>8.141637345E9</v>
      </c>
      <c r="J236" s="19" t="s">
        <v>33</v>
      </c>
      <c r="K236" s="19">
        <v>796.0</v>
      </c>
      <c r="L236" s="19" t="s">
        <v>1387</v>
      </c>
      <c r="M236" s="19" t="s">
        <v>107</v>
      </c>
      <c r="N236" s="21" t="s">
        <v>58</v>
      </c>
      <c r="O236" s="19" t="s">
        <v>66</v>
      </c>
      <c r="P236" s="19" t="s">
        <v>60</v>
      </c>
      <c r="Q236" s="18" t="s">
        <v>38</v>
      </c>
      <c r="R236" s="19" t="s">
        <v>992</v>
      </c>
      <c r="S236" s="19" t="s">
        <v>33</v>
      </c>
      <c r="T236" s="19" t="s">
        <v>33</v>
      </c>
      <c r="U236" s="19" t="s">
        <v>33</v>
      </c>
      <c r="V236" s="23">
        <v>5247.0</v>
      </c>
      <c r="W236" s="23">
        <v>6191.0</v>
      </c>
      <c r="X236" s="19">
        <v>6000.0</v>
      </c>
      <c r="Y236" s="19">
        <v>6000.0</v>
      </c>
      <c r="Z236" s="14">
        <f t="shared" si="1"/>
        <v>191</v>
      </c>
      <c r="AA236" s="15">
        <f t="shared" si="2"/>
        <v>0</v>
      </c>
      <c r="AB236" s="19" t="s">
        <v>39</v>
      </c>
      <c r="AC236" s="17" t="s">
        <v>1388</v>
      </c>
    </row>
    <row r="237">
      <c r="A237" s="17">
        <v>235.0</v>
      </c>
      <c r="B237" s="19" t="s">
        <v>1381</v>
      </c>
      <c r="C237" s="17" t="s">
        <v>1389</v>
      </c>
      <c r="D237" s="17" t="s">
        <v>1390</v>
      </c>
      <c r="E237" s="19" t="s">
        <v>102</v>
      </c>
      <c r="F237" s="17" t="s">
        <v>111</v>
      </c>
      <c r="G237" s="17" t="s">
        <v>1391</v>
      </c>
      <c r="H237" s="19">
        <v>9.913547015E9</v>
      </c>
      <c r="I237" s="19"/>
      <c r="J237" s="19" t="s">
        <v>1392</v>
      </c>
      <c r="K237" s="19">
        <v>812.0</v>
      </c>
      <c r="L237" s="19" t="s">
        <v>1387</v>
      </c>
      <c r="M237" s="19" t="s">
        <v>107</v>
      </c>
      <c r="N237" s="21" t="s">
        <v>58</v>
      </c>
      <c r="O237" s="19" t="s">
        <v>36</v>
      </c>
      <c r="P237" s="19" t="s">
        <v>60</v>
      </c>
      <c r="Q237" s="18" t="s">
        <v>38</v>
      </c>
      <c r="R237" s="19" t="s">
        <v>1393</v>
      </c>
      <c r="S237" s="22">
        <v>46478.0</v>
      </c>
      <c r="T237" s="22">
        <v>45815.0</v>
      </c>
      <c r="U237" s="19" t="s">
        <v>33</v>
      </c>
      <c r="V237" s="23">
        <v>6702.0</v>
      </c>
      <c r="W237" s="23">
        <v>7908.0</v>
      </c>
      <c r="X237" s="19">
        <v>6500.0</v>
      </c>
      <c r="Y237" s="19">
        <v>6500.0</v>
      </c>
      <c r="Z237" s="14">
        <f t="shared" si="1"/>
        <v>1408</v>
      </c>
      <c r="AA237" s="15">
        <f t="shared" si="2"/>
        <v>0</v>
      </c>
      <c r="AB237" s="19" t="s">
        <v>39</v>
      </c>
      <c r="AC237" s="17" t="s">
        <v>1394</v>
      </c>
    </row>
    <row r="238">
      <c r="A238" s="17">
        <v>236.0</v>
      </c>
      <c r="B238" s="19" t="s">
        <v>1381</v>
      </c>
      <c r="C238" s="17" t="s">
        <v>1395</v>
      </c>
      <c r="D238" s="17" t="s">
        <v>1396</v>
      </c>
      <c r="E238" s="19" t="s">
        <v>102</v>
      </c>
      <c r="F238" s="17" t="s">
        <v>111</v>
      </c>
      <c r="G238" s="17" t="s">
        <v>1397</v>
      </c>
      <c r="H238" s="19">
        <v>9.978095654E9</v>
      </c>
      <c r="I238" s="19">
        <v>9.727632868E9</v>
      </c>
      <c r="J238" s="19" t="s">
        <v>105</v>
      </c>
      <c r="K238" s="19"/>
      <c r="L238" s="19" t="s">
        <v>208</v>
      </c>
      <c r="M238" s="19" t="s">
        <v>107</v>
      </c>
      <c r="N238" s="21" t="s">
        <v>58</v>
      </c>
      <c r="O238" s="19" t="s">
        <v>66</v>
      </c>
      <c r="P238" s="19" t="s">
        <v>60</v>
      </c>
      <c r="Q238" s="18" t="s">
        <v>38</v>
      </c>
      <c r="R238" s="19" t="s">
        <v>146</v>
      </c>
      <c r="S238" s="19" t="s">
        <v>1093</v>
      </c>
      <c r="T238" s="19" t="s">
        <v>1398</v>
      </c>
      <c r="U238" s="19" t="s">
        <v>33</v>
      </c>
      <c r="V238" s="23">
        <v>6434.0</v>
      </c>
      <c r="W238" s="23">
        <v>7592.0</v>
      </c>
      <c r="X238" s="19">
        <v>6500.0</v>
      </c>
      <c r="Y238" s="19">
        <v>6000.0</v>
      </c>
      <c r="Z238" s="14">
        <f t="shared" si="1"/>
        <v>1592</v>
      </c>
      <c r="AA238" s="15">
        <f t="shared" si="2"/>
        <v>-500</v>
      </c>
      <c r="AB238" s="19" t="s">
        <v>39</v>
      </c>
      <c r="AC238" s="17" t="s">
        <v>1399</v>
      </c>
    </row>
    <row r="239">
      <c r="A239" s="17">
        <v>237.0</v>
      </c>
      <c r="B239" s="19" t="s">
        <v>1381</v>
      </c>
      <c r="C239" s="17" t="s">
        <v>1400</v>
      </c>
      <c r="D239" s="17" t="s">
        <v>1401</v>
      </c>
      <c r="E239" s="19" t="s">
        <v>102</v>
      </c>
      <c r="F239" s="17" t="s">
        <v>1231</v>
      </c>
      <c r="G239" s="17" t="s">
        <v>1402</v>
      </c>
      <c r="H239" s="19">
        <v>9.727632868E9</v>
      </c>
      <c r="I239" s="19">
        <v>9.724822868E9</v>
      </c>
      <c r="J239" s="19" t="s">
        <v>105</v>
      </c>
      <c r="K239" s="19"/>
      <c r="L239" s="19" t="s">
        <v>1403</v>
      </c>
      <c r="M239" s="19" t="s">
        <v>107</v>
      </c>
      <c r="N239" s="21" t="s">
        <v>58</v>
      </c>
      <c r="O239" s="19" t="s">
        <v>66</v>
      </c>
      <c r="P239" s="19" t="s">
        <v>60</v>
      </c>
      <c r="Q239" s="18" t="s">
        <v>38</v>
      </c>
      <c r="R239" s="22">
        <v>46175.0</v>
      </c>
      <c r="S239" s="22">
        <v>46237.0</v>
      </c>
      <c r="T239" s="19" t="s">
        <v>33</v>
      </c>
      <c r="U239" s="19" t="s">
        <v>33</v>
      </c>
      <c r="V239" s="23">
        <v>6336.0</v>
      </c>
      <c r="W239" s="23">
        <v>7477.0</v>
      </c>
      <c r="X239" s="19">
        <v>6500.0</v>
      </c>
      <c r="Y239" s="19">
        <v>6000.0</v>
      </c>
      <c r="Z239" s="14">
        <f t="shared" si="1"/>
        <v>1477</v>
      </c>
      <c r="AA239" s="15">
        <f t="shared" si="2"/>
        <v>-500</v>
      </c>
      <c r="AB239" s="19" t="s">
        <v>39</v>
      </c>
      <c r="AC239" s="17" t="s">
        <v>1404</v>
      </c>
    </row>
    <row r="240">
      <c r="A240" s="17">
        <v>238.0</v>
      </c>
      <c r="B240" s="19" t="s">
        <v>1381</v>
      </c>
      <c r="C240" s="17" t="s">
        <v>1405</v>
      </c>
      <c r="D240" s="17" t="s">
        <v>1406</v>
      </c>
      <c r="E240" s="19" t="s">
        <v>52</v>
      </c>
      <c r="F240" s="17" t="s">
        <v>1407</v>
      </c>
      <c r="G240" s="17" t="s">
        <v>1408</v>
      </c>
      <c r="H240" s="19">
        <v>9.510088688E9</v>
      </c>
      <c r="I240" s="19"/>
      <c r="J240" s="19" t="s">
        <v>33</v>
      </c>
      <c r="K240" s="19">
        <v>2880.0</v>
      </c>
      <c r="L240" s="19" t="s">
        <v>208</v>
      </c>
      <c r="M240" s="19" t="s">
        <v>1409</v>
      </c>
      <c r="N240" s="21" t="s">
        <v>46</v>
      </c>
      <c r="O240" s="19" t="s">
        <v>209</v>
      </c>
      <c r="P240" s="19" t="s">
        <v>79</v>
      </c>
      <c r="Q240" s="18" t="s">
        <v>38</v>
      </c>
      <c r="R240" s="19" t="s">
        <v>1410</v>
      </c>
      <c r="S240" s="19" t="s">
        <v>279</v>
      </c>
      <c r="T240" s="19" t="s">
        <v>33</v>
      </c>
      <c r="U240" s="19" t="s">
        <v>33</v>
      </c>
      <c r="V240" s="23">
        <v>16099.0</v>
      </c>
      <c r="W240" s="23">
        <v>16910.0</v>
      </c>
      <c r="X240" s="19">
        <v>15000.0</v>
      </c>
      <c r="Y240" s="19">
        <v>15000.0</v>
      </c>
      <c r="Z240" s="14">
        <f t="shared" si="1"/>
        <v>1910</v>
      </c>
      <c r="AA240" s="15">
        <f t="shared" si="2"/>
        <v>0</v>
      </c>
      <c r="AB240" s="19" t="s">
        <v>39</v>
      </c>
      <c r="AC240" s="17" t="s">
        <v>1411</v>
      </c>
    </row>
    <row r="241">
      <c r="A241" s="17">
        <v>239.0</v>
      </c>
      <c r="B241" s="19" t="s">
        <v>1381</v>
      </c>
      <c r="C241" s="17" t="s">
        <v>1412</v>
      </c>
      <c r="D241" s="17" t="s">
        <v>1413</v>
      </c>
      <c r="E241" s="19" t="s">
        <v>52</v>
      </c>
      <c r="F241" s="17" t="s">
        <v>187</v>
      </c>
      <c r="G241" s="17" t="s">
        <v>1414</v>
      </c>
      <c r="H241" s="19">
        <v>6.359221856E9</v>
      </c>
      <c r="I241" s="19">
        <v>9.723448869E9</v>
      </c>
      <c r="J241" s="19" t="s">
        <v>33</v>
      </c>
      <c r="K241" s="19">
        <v>1600.0</v>
      </c>
      <c r="L241" s="19" t="s">
        <v>208</v>
      </c>
      <c r="M241" s="19" t="s">
        <v>189</v>
      </c>
      <c r="N241" s="21" t="s">
        <v>58</v>
      </c>
      <c r="O241" s="19" t="s">
        <v>431</v>
      </c>
      <c r="P241" s="19" t="s">
        <v>79</v>
      </c>
      <c r="Q241" s="18" t="s">
        <v>38</v>
      </c>
      <c r="R241" s="19" t="s">
        <v>1415</v>
      </c>
      <c r="S241" s="19" t="s">
        <v>278</v>
      </c>
      <c r="T241" s="19" t="s">
        <v>33</v>
      </c>
      <c r="U241" s="19" t="s">
        <v>33</v>
      </c>
      <c r="V241" s="23">
        <v>20800.0</v>
      </c>
      <c r="W241" s="23">
        <v>22458.0</v>
      </c>
      <c r="X241" s="19">
        <v>13970.0</v>
      </c>
      <c r="Y241" s="19">
        <v>13500.0</v>
      </c>
      <c r="Z241" s="14">
        <f t="shared" si="1"/>
        <v>8958</v>
      </c>
      <c r="AA241" s="15">
        <f t="shared" si="2"/>
        <v>-470</v>
      </c>
      <c r="AB241" s="19" t="s">
        <v>39</v>
      </c>
      <c r="AC241" s="17" t="s">
        <v>1416</v>
      </c>
    </row>
    <row r="242">
      <c r="A242" s="17">
        <v>240.0</v>
      </c>
      <c r="B242" s="19" t="s">
        <v>1381</v>
      </c>
      <c r="C242" s="17" t="s">
        <v>1417</v>
      </c>
      <c r="D242" s="17" t="s">
        <v>1418</v>
      </c>
      <c r="E242" s="19" t="s">
        <v>88</v>
      </c>
      <c r="F242" s="17" t="s">
        <v>276</v>
      </c>
      <c r="G242" s="17" t="s">
        <v>1419</v>
      </c>
      <c r="H242" s="19" t="s">
        <v>1420</v>
      </c>
      <c r="I242" s="19" t="s">
        <v>1421</v>
      </c>
      <c r="J242" s="19" t="s">
        <v>33</v>
      </c>
      <c r="K242" s="19">
        <v>28000.0</v>
      </c>
      <c r="L242" s="19" t="s">
        <v>208</v>
      </c>
      <c r="M242" s="19" t="s">
        <v>57</v>
      </c>
      <c r="N242" s="21" t="s">
        <v>58</v>
      </c>
      <c r="O242" s="19" t="s">
        <v>66</v>
      </c>
      <c r="P242" s="19" t="s">
        <v>60</v>
      </c>
      <c r="Q242" s="18" t="s">
        <v>38</v>
      </c>
      <c r="R242" s="19" t="s">
        <v>448</v>
      </c>
      <c r="S242" s="19" t="s">
        <v>1422</v>
      </c>
      <c r="T242" s="22">
        <v>46936.0</v>
      </c>
      <c r="U242" s="19" t="s">
        <v>33</v>
      </c>
      <c r="V242" s="23">
        <v>46797.0</v>
      </c>
      <c r="W242" s="23">
        <v>49495.0</v>
      </c>
      <c r="X242" s="19">
        <v>39618.0</v>
      </c>
      <c r="Y242" s="19">
        <v>39500.0</v>
      </c>
      <c r="Z242" s="14">
        <f t="shared" si="1"/>
        <v>9995</v>
      </c>
      <c r="AA242" s="15">
        <f t="shared" si="2"/>
        <v>-118</v>
      </c>
      <c r="AB242" s="19" t="s">
        <v>39</v>
      </c>
      <c r="AC242" s="17" t="s">
        <v>1423</v>
      </c>
    </row>
    <row r="243">
      <c r="A243" s="17">
        <v>241.0</v>
      </c>
      <c r="B243" s="19" t="s">
        <v>1381</v>
      </c>
      <c r="C243" s="17" t="s">
        <v>1424</v>
      </c>
      <c r="D243" s="17" t="s">
        <v>1425</v>
      </c>
      <c r="E243" s="19" t="s">
        <v>88</v>
      </c>
      <c r="F243" s="17" t="s">
        <v>864</v>
      </c>
      <c r="G243" s="17" t="s">
        <v>1426</v>
      </c>
      <c r="H243" s="19">
        <v>7.98467355E9</v>
      </c>
      <c r="I243" s="19"/>
      <c r="J243" s="19" t="s">
        <v>33</v>
      </c>
      <c r="K243" s="19">
        <v>42000.0</v>
      </c>
      <c r="L243" s="19" t="s">
        <v>208</v>
      </c>
      <c r="M243" s="19" t="s">
        <v>107</v>
      </c>
      <c r="N243" s="21" t="s">
        <v>58</v>
      </c>
      <c r="O243" s="19" t="s">
        <v>66</v>
      </c>
      <c r="P243" s="19" t="s">
        <v>60</v>
      </c>
      <c r="Q243" s="18" t="s">
        <v>38</v>
      </c>
      <c r="R243" s="19" t="s">
        <v>1072</v>
      </c>
      <c r="S243" s="22">
        <v>46117.0</v>
      </c>
      <c r="T243" s="19" t="s">
        <v>1427</v>
      </c>
      <c r="U243" s="19" t="s">
        <v>33</v>
      </c>
      <c r="V243" s="23">
        <v>48403.0</v>
      </c>
      <c r="W243" s="23">
        <v>51364.0</v>
      </c>
      <c r="X243" s="19">
        <v>43000.0</v>
      </c>
      <c r="Y243" s="19">
        <v>43000.0</v>
      </c>
      <c r="Z243" s="14">
        <f t="shared" si="1"/>
        <v>8364</v>
      </c>
      <c r="AA243" s="15">
        <f t="shared" si="2"/>
        <v>0</v>
      </c>
      <c r="AB243" s="19" t="s">
        <v>39</v>
      </c>
      <c r="AC243" s="17" t="s">
        <v>1428</v>
      </c>
    </row>
    <row r="244">
      <c r="A244" s="17">
        <v>242.0</v>
      </c>
      <c r="B244" s="19" t="s">
        <v>1381</v>
      </c>
      <c r="C244" s="17" t="s">
        <v>1429</v>
      </c>
      <c r="D244" s="17" t="s">
        <v>1430</v>
      </c>
      <c r="E244" s="19" t="s">
        <v>30</v>
      </c>
      <c r="F244" s="17" t="s">
        <v>1431</v>
      </c>
      <c r="G244" s="17" t="s">
        <v>1432</v>
      </c>
      <c r="H244" s="19" t="s">
        <v>542</v>
      </c>
      <c r="I244" s="19"/>
      <c r="J244" s="19" t="s">
        <v>33</v>
      </c>
      <c r="K244" s="19">
        <v>796.0</v>
      </c>
      <c r="L244" s="19" t="s">
        <v>1387</v>
      </c>
      <c r="M244" s="19" t="s">
        <v>92</v>
      </c>
      <c r="N244" s="21" t="s">
        <v>58</v>
      </c>
      <c r="O244" s="19" t="s">
        <v>36</v>
      </c>
      <c r="P244" s="19" t="s">
        <v>37</v>
      </c>
      <c r="Q244" s="18" t="s">
        <v>38</v>
      </c>
      <c r="R244" s="19" t="s">
        <v>1433</v>
      </c>
      <c r="S244" s="19" t="s">
        <v>503</v>
      </c>
      <c r="T244" s="19" t="s">
        <v>33</v>
      </c>
      <c r="U244" s="19" t="s">
        <v>33</v>
      </c>
      <c r="V244" s="24">
        <v>7070.0</v>
      </c>
      <c r="W244" s="23">
        <v>8343.0</v>
      </c>
      <c r="X244" s="19">
        <v>8343.0</v>
      </c>
      <c r="Y244" s="19">
        <v>8000.0</v>
      </c>
      <c r="Z244" s="14">
        <f t="shared" si="1"/>
        <v>343</v>
      </c>
      <c r="AA244" s="15">
        <f t="shared" si="2"/>
        <v>-343</v>
      </c>
      <c r="AB244" s="19" t="s">
        <v>39</v>
      </c>
      <c r="AC244" s="17" t="s">
        <v>1434</v>
      </c>
    </row>
    <row r="245">
      <c r="A245" s="17">
        <v>243.0</v>
      </c>
      <c r="B245" s="19" t="s">
        <v>1381</v>
      </c>
      <c r="C245" s="17" t="s">
        <v>1435</v>
      </c>
      <c r="D245" s="17" t="s">
        <v>1436</v>
      </c>
      <c r="E245" s="19" t="s">
        <v>30</v>
      </c>
      <c r="F245" s="17" t="s">
        <v>1437</v>
      </c>
      <c r="G245" s="17" t="s">
        <v>1438</v>
      </c>
      <c r="H245" s="19" t="s">
        <v>542</v>
      </c>
      <c r="I245" s="19"/>
      <c r="J245" s="19" t="s">
        <v>33</v>
      </c>
      <c r="K245" s="19">
        <v>796.0</v>
      </c>
      <c r="L245" s="19" t="s">
        <v>1387</v>
      </c>
      <c r="M245" s="19" t="s">
        <v>92</v>
      </c>
      <c r="N245" s="21" t="s">
        <v>58</v>
      </c>
      <c r="O245" s="19" t="s">
        <v>36</v>
      </c>
      <c r="P245" s="19" t="s">
        <v>37</v>
      </c>
      <c r="Q245" s="18" t="s">
        <v>38</v>
      </c>
      <c r="R245" s="19" t="s">
        <v>1433</v>
      </c>
      <c r="S245" s="19" t="s">
        <v>503</v>
      </c>
      <c r="T245" s="19" t="s">
        <v>33</v>
      </c>
      <c r="U245" s="19" t="s">
        <v>33</v>
      </c>
      <c r="V245" s="24">
        <v>7070.0</v>
      </c>
      <c r="W245" s="24">
        <v>8343.0</v>
      </c>
      <c r="X245" s="19">
        <v>8343.0</v>
      </c>
      <c r="Y245" s="19">
        <v>8000.0</v>
      </c>
      <c r="Z245" s="15">
        <f t="shared" si="1"/>
        <v>343</v>
      </c>
      <c r="AA245" s="15">
        <f t="shared" si="2"/>
        <v>-343</v>
      </c>
      <c r="AB245" s="19" t="s">
        <v>39</v>
      </c>
      <c r="AC245" s="17" t="s">
        <v>1439</v>
      </c>
    </row>
    <row r="246">
      <c r="A246" s="17">
        <v>244.0</v>
      </c>
      <c r="B246" s="19" t="s">
        <v>1381</v>
      </c>
      <c r="C246" s="17" t="s">
        <v>1440</v>
      </c>
      <c r="D246" s="17" t="s">
        <v>1441</v>
      </c>
      <c r="E246" s="19" t="s">
        <v>52</v>
      </c>
      <c r="F246" s="17" t="s">
        <v>877</v>
      </c>
      <c r="G246" s="17" t="s">
        <v>1442</v>
      </c>
      <c r="H246" s="19">
        <v>8.469873102E9</v>
      </c>
      <c r="I246" s="19">
        <v>9.909540772E9</v>
      </c>
      <c r="J246" s="19" t="s">
        <v>105</v>
      </c>
      <c r="K246" s="19">
        <v>3460.0</v>
      </c>
      <c r="L246" s="19" t="s">
        <v>1387</v>
      </c>
      <c r="M246" s="19" t="s">
        <v>57</v>
      </c>
      <c r="N246" s="21" t="s">
        <v>58</v>
      </c>
      <c r="O246" s="19" t="s">
        <v>66</v>
      </c>
      <c r="P246" s="19" t="s">
        <v>79</v>
      </c>
      <c r="Q246" s="18" t="s">
        <v>38</v>
      </c>
      <c r="R246" s="19" t="s">
        <v>1393</v>
      </c>
      <c r="S246" s="22">
        <v>46034.0</v>
      </c>
      <c r="T246" s="19" t="s">
        <v>1443</v>
      </c>
      <c r="U246" s="19" t="s">
        <v>33</v>
      </c>
      <c r="V246" s="23">
        <v>20497.0</v>
      </c>
      <c r="W246" s="23">
        <v>22089.0</v>
      </c>
      <c r="X246" s="19">
        <v>15919.0</v>
      </c>
      <c r="Y246" s="19">
        <v>16000.0</v>
      </c>
      <c r="Z246" s="14">
        <f t="shared" si="1"/>
        <v>6089</v>
      </c>
      <c r="AA246" s="15">
        <f t="shared" si="2"/>
        <v>81</v>
      </c>
      <c r="AB246" s="19" t="s">
        <v>39</v>
      </c>
      <c r="AC246" s="17" t="s">
        <v>1444</v>
      </c>
    </row>
    <row r="247">
      <c r="A247" s="17">
        <v>245.0</v>
      </c>
      <c r="B247" s="19" t="s">
        <v>1445</v>
      </c>
      <c r="C247" s="17" t="s">
        <v>1079</v>
      </c>
      <c r="D247" s="17" t="s">
        <v>1080</v>
      </c>
      <c r="E247" s="19" t="s">
        <v>52</v>
      </c>
      <c r="F247" s="17" t="s">
        <v>1446</v>
      </c>
      <c r="G247" s="17" t="s">
        <v>595</v>
      </c>
      <c r="H247" s="19">
        <v>9.825051721E9</v>
      </c>
      <c r="I247" s="19">
        <v>8.485993847E9</v>
      </c>
      <c r="J247" s="19" t="s">
        <v>33</v>
      </c>
      <c r="K247" s="19">
        <v>2735.0</v>
      </c>
      <c r="L247" s="19" t="s">
        <v>708</v>
      </c>
      <c r="M247" s="19" t="s">
        <v>57</v>
      </c>
      <c r="N247" s="21" t="s">
        <v>58</v>
      </c>
      <c r="O247" s="19" t="s">
        <v>66</v>
      </c>
      <c r="P247" s="19" t="s">
        <v>60</v>
      </c>
      <c r="Q247" s="18" t="s">
        <v>38</v>
      </c>
      <c r="R247" s="19" t="s">
        <v>1081</v>
      </c>
      <c r="S247" s="22">
        <v>46061.0</v>
      </c>
      <c r="T247" s="19" t="s">
        <v>33</v>
      </c>
      <c r="U247" s="19" t="s">
        <v>33</v>
      </c>
      <c r="V247" s="23">
        <v>20642.0</v>
      </c>
      <c r="W247" s="23">
        <v>22258.0</v>
      </c>
      <c r="X247" s="19">
        <v>14681.0</v>
      </c>
      <c r="Y247" s="19">
        <v>14500.0</v>
      </c>
      <c r="Z247" s="14">
        <f t="shared" si="1"/>
        <v>7758</v>
      </c>
      <c r="AA247" s="15">
        <f t="shared" si="2"/>
        <v>-181</v>
      </c>
      <c r="AB247" s="19" t="s">
        <v>39</v>
      </c>
      <c r="AC247" s="17" t="s">
        <v>1447</v>
      </c>
    </row>
    <row r="248">
      <c r="A248" s="17">
        <v>246.0</v>
      </c>
      <c r="B248" s="19" t="s">
        <v>1445</v>
      </c>
      <c r="C248" s="17" t="s">
        <v>1448</v>
      </c>
      <c r="D248" s="17" t="s">
        <v>1449</v>
      </c>
      <c r="E248" s="19" t="s">
        <v>88</v>
      </c>
      <c r="F248" s="17" t="s">
        <v>1450</v>
      </c>
      <c r="G248" s="17" t="s">
        <v>1451</v>
      </c>
      <c r="H248" s="19" t="s">
        <v>1452</v>
      </c>
      <c r="I248" s="19" t="s">
        <v>1453</v>
      </c>
      <c r="J248" s="19" t="s">
        <v>33</v>
      </c>
      <c r="K248" s="19">
        <v>35000.0</v>
      </c>
      <c r="L248" s="19" t="s">
        <v>208</v>
      </c>
      <c r="M248" s="19" t="s">
        <v>152</v>
      </c>
      <c r="N248" s="21" t="s">
        <v>58</v>
      </c>
      <c r="O248" s="19" t="s">
        <v>36</v>
      </c>
      <c r="P248" s="19" t="s">
        <v>60</v>
      </c>
      <c r="Q248" s="18" t="s">
        <v>38</v>
      </c>
      <c r="R248" s="19" t="s">
        <v>1454</v>
      </c>
      <c r="S248" s="19" t="s">
        <v>1455</v>
      </c>
      <c r="T248" s="22">
        <v>47093.0</v>
      </c>
      <c r="U248" s="19" t="s">
        <v>33</v>
      </c>
      <c r="V248" s="23">
        <v>48835.15</v>
      </c>
      <c r="W248" s="23">
        <v>51912.0</v>
      </c>
      <c r="X248" s="19">
        <v>41500.0</v>
      </c>
      <c r="Y248" s="19">
        <v>41500.0</v>
      </c>
      <c r="Z248" s="14">
        <f t="shared" si="1"/>
        <v>10412</v>
      </c>
      <c r="AA248" s="15">
        <f t="shared" si="2"/>
        <v>0</v>
      </c>
      <c r="AB248" s="19" t="s">
        <v>39</v>
      </c>
      <c r="AC248" s="17" t="s">
        <v>1456</v>
      </c>
    </row>
    <row r="249">
      <c r="A249" s="17">
        <v>247.0</v>
      </c>
      <c r="B249" s="19" t="s">
        <v>1445</v>
      </c>
      <c r="C249" s="17" t="s">
        <v>1457</v>
      </c>
      <c r="D249" s="17" t="s">
        <v>1458</v>
      </c>
      <c r="E249" s="19" t="s">
        <v>88</v>
      </c>
      <c r="F249" s="17" t="s">
        <v>1459</v>
      </c>
      <c r="G249" s="17" t="s">
        <v>1362</v>
      </c>
      <c r="H249" s="19">
        <v>9.428888322E9</v>
      </c>
      <c r="I249" s="19">
        <v>8.530652325E9</v>
      </c>
      <c r="J249" s="19" t="s">
        <v>33</v>
      </c>
      <c r="K249" s="19">
        <v>7490.0</v>
      </c>
      <c r="L249" s="19" t="s">
        <v>1310</v>
      </c>
      <c r="M249" s="19" t="s">
        <v>92</v>
      </c>
      <c r="N249" s="21" t="s">
        <v>46</v>
      </c>
      <c r="O249" s="19" t="s">
        <v>153</v>
      </c>
      <c r="P249" s="19" t="s">
        <v>79</v>
      </c>
      <c r="Q249" s="18" t="s">
        <v>38</v>
      </c>
      <c r="R249" s="22">
        <v>46297.0</v>
      </c>
      <c r="S249" s="19" t="s">
        <v>940</v>
      </c>
      <c r="T249" s="19" t="s">
        <v>1460</v>
      </c>
      <c r="U249" s="19" t="s">
        <v>33</v>
      </c>
      <c r="V249" s="23">
        <v>16149.0</v>
      </c>
      <c r="W249" s="23">
        <v>16969.0</v>
      </c>
      <c r="X249" s="19">
        <v>14500.0</v>
      </c>
      <c r="Y249" s="19">
        <v>13000.0</v>
      </c>
      <c r="Z249" s="14">
        <f t="shared" si="1"/>
        <v>3969</v>
      </c>
      <c r="AA249" s="15">
        <f t="shared" si="2"/>
        <v>-1500</v>
      </c>
      <c r="AB249" s="19" t="s">
        <v>39</v>
      </c>
      <c r="AC249" s="17" t="s">
        <v>1461</v>
      </c>
    </row>
    <row r="250">
      <c r="A250" s="17">
        <v>248.0</v>
      </c>
      <c r="B250" s="19" t="s">
        <v>1445</v>
      </c>
      <c r="C250" s="17" t="s">
        <v>1462</v>
      </c>
      <c r="D250" s="17" t="s">
        <v>1463</v>
      </c>
      <c r="E250" s="19" t="s">
        <v>88</v>
      </c>
      <c r="F250" s="17" t="s">
        <v>948</v>
      </c>
      <c r="G250" s="17" t="s">
        <v>1464</v>
      </c>
      <c r="H250" s="19"/>
      <c r="I250" s="19"/>
      <c r="J250" s="19" t="s">
        <v>33</v>
      </c>
      <c r="K250" s="19">
        <v>28000.0</v>
      </c>
      <c r="L250" s="19" t="s">
        <v>1465</v>
      </c>
      <c r="M250" s="19" t="s">
        <v>92</v>
      </c>
      <c r="N250" s="21" t="s">
        <v>46</v>
      </c>
      <c r="O250" s="19" t="s">
        <v>36</v>
      </c>
      <c r="P250" s="19" t="s">
        <v>79</v>
      </c>
      <c r="Q250" s="18" t="s">
        <v>38</v>
      </c>
      <c r="R250" s="22">
        <v>46089.0</v>
      </c>
      <c r="S250" s="19" t="s">
        <v>1272</v>
      </c>
      <c r="T250" s="22">
        <v>47484.0</v>
      </c>
      <c r="U250" s="19" t="s">
        <v>33</v>
      </c>
      <c r="V250" s="19">
        <v>44050.0</v>
      </c>
      <c r="W250" s="19">
        <v>46266.0</v>
      </c>
      <c r="X250" s="19">
        <v>28000.0</v>
      </c>
      <c r="Y250" s="19">
        <v>28000.0</v>
      </c>
      <c r="Z250" s="10">
        <f t="shared" si="1"/>
        <v>18266</v>
      </c>
      <c r="AA250" s="15">
        <f t="shared" si="2"/>
        <v>0</v>
      </c>
      <c r="AB250" s="19" t="s">
        <v>39</v>
      </c>
      <c r="AC250" s="17" t="s">
        <v>1466</v>
      </c>
    </row>
    <row r="251">
      <c r="A251" s="17">
        <v>249.0</v>
      </c>
      <c r="B251" s="19" t="s">
        <v>1445</v>
      </c>
      <c r="C251" s="17" t="s">
        <v>1467</v>
      </c>
      <c r="D251" s="17" t="s">
        <v>1468</v>
      </c>
      <c r="E251" s="19" t="s">
        <v>102</v>
      </c>
      <c r="F251" s="17" t="s">
        <v>111</v>
      </c>
      <c r="G251" s="17" t="s">
        <v>1469</v>
      </c>
      <c r="H251" s="19">
        <v>7.3839786E9</v>
      </c>
      <c r="I251" s="19">
        <v>9.913533025E9</v>
      </c>
      <c r="J251" s="19" t="s">
        <v>33</v>
      </c>
      <c r="K251" s="19">
        <v>236.0</v>
      </c>
      <c r="L251" s="19" t="s">
        <v>1310</v>
      </c>
      <c r="M251" s="19" t="s">
        <v>107</v>
      </c>
      <c r="N251" s="21" t="s">
        <v>58</v>
      </c>
      <c r="O251" s="19" t="s">
        <v>66</v>
      </c>
      <c r="P251" s="19" t="s">
        <v>60</v>
      </c>
      <c r="Q251" s="18" t="s">
        <v>38</v>
      </c>
      <c r="R251" s="22">
        <v>45962.0</v>
      </c>
      <c r="S251" s="25">
        <v>45597.0</v>
      </c>
      <c r="T251" s="22">
        <v>46754.0</v>
      </c>
      <c r="U251" s="19" t="s">
        <v>33</v>
      </c>
      <c r="V251" s="23">
        <v>6659.0</v>
      </c>
      <c r="W251" s="23">
        <v>7858.0</v>
      </c>
      <c r="X251" s="19">
        <v>6500.0</v>
      </c>
      <c r="Y251" s="19">
        <v>6500.0</v>
      </c>
      <c r="Z251" s="14">
        <f t="shared" si="1"/>
        <v>1358</v>
      </c>
      <c r="AA251" s="15">
        <f t="shared" si="2"/>
        <v>0</v>
      </c>
      <c r="AB251" s="19" t="s">
        <v>39</v>
      </c>
      <c r="AC251" s="17" t="s">
        <v>1470</v>
      </c>
    </row>
    <row r="252">
      <c r="A252" s="35">
        <v>250.0</v>
      </c>
      <c r="B252" s="37" t="s">
        <v>1445</v>
      </c>
      <c r="C252" s="35" t="s">
        <v>1471</v>
      </c>
      <c r="D252" s="35" t="s">
        <v>1472</v>
      </c>
      <c r="E252" s="37" t="s">
        <v>88</v>
      </c>
      <c r="F252" s="35" t="s">
        <v>1473</v>
      </c>
      <c r="G252" s="35" t="s">
        <v>1474</v>
      </c>
      <c r="H252" s="37">
        <v>9.586474751E9</v>
      </c>
      <c r="I252" s="37">
        <v>9.586947033E9</v>
      </c>
      <c r="J252" s="37" t="s">
        <v>33</v>
      </c>
      <c r="K252" s="37">
        <v>35000.0</v>
      </c>
      <c r="L252" s="37" t="s">
        <v>1475</v>
      </c>
      <c r="M252" s="37" t="s">
        <v>152</v>
      </c>
      <c r="N252" s="39" t="s">
        <v>58</v>
      </c>
      <c r="O252" s="37" t="s">
        <v>66</v>
      </c>
      <c r="P252" s="37" t="s">
        <v>79</v>
      </c>
      <c r="Q252" s="54" t="s">
        <v>38</v>
      </c>
      <c r="R252" s="43">
        <v>46151.0</v>
      </c>
      <c r="S252" s="37" t="s">
        <v>1476</v>
      </c>
      <c r="T252" s="43">
        <v>46388.0</v>
      </c>
      <c r="U252" s="37" t="s">
        <v>33</v>
      </c>
      <c r="V252" s="23">
        <v>45913.87</v>
      </c>
      <c r="W252" s="23">
        <v>48465.0</v>
      </c>
      <c r="X252" s="37">
        <v>39305.0</v>
      </c>
      <c r="Y252" s="37">
        <v>40000.0</v>
      </c>
      <c r="Z252" s="14">
        <f t="shared" si="1"/>
        <v>8465</v>
      </c>
      <c r="AA252" s="15">
        <f t="shared" si="2"/>
        <v>695</v>
      </c>
      <c r="AB252" s="37" t="s">
        <v>39</v>
      </c>
      <c r="AC252" s="17" t="s">
        <v>1477</v>
      </c>
    </row>
    <row r="253">
      <c r="A253" s="17">
        <v>251.0</v>
      </c>
      <c r="B253" s="19" t="s">
        <v>1445</v>
      </c>
      <c r="C253" s="17" t="s">
        <v>1478</v>
      </c>
      <c r="D253" s="17" t="s">
        <v>1479</v>
      </c>
      <c r="E253" s="19" t="s">
        <v>52</v>
      </c>
      <c r="F253" s="17" t="s">
        <v>216</v>
      </c>
      <c r="G253" s="17" t="s">
        <v>1480</v>
      </c>
      <c r="H253" s="19" t="s">
        <v>1481</v>
      </c>
      <c r="I253" s="19">
        <v>8.866101012E9</v>
      </c>
      <c r="J253" s="19" t="s">
        <v>33</v>
      </c>
      <c r="K253" s="19">
        <v>3460.0</v>
      </c>
      <c r="L253" s="19" t="s">
        <v>1310</v>
      </c>
      <c r="M253" s="19" t="s">
        <v>57</v>
      </c>
      <c r="N253" s="21" t="s">
        <v>58</v>
      </c>
      <c r="O253" s="19" t="s">
        <v>93</v>
      </c>
      <c r="P253" s="19" t="s">
        <v>60</v>
      </c>
      <c r="Q253" s="18" t="s">
        <v>38</v>
      </c>
      <c r="R253" s="19" t="s">
        <v>1200</v>
      </c>
      <c r="S253" s="19" t="s">
        <v>1415</v>
      </c>
      <c r="T253" s="19" t="s">
        <v>212</v>
      </c>
      <c r="U253" s="19" t="s">
        <v>33</v>
      </c>
      <c r="V253" s="23">
        <v>22248.0</v>
      </c>
      <c r="W253" s="23">
        <v>24154.0</v>
      </c>
      <c r="X253" s="19">
        <v>15500.0</v>
      </c>
      <c r="Y253" s="19">
        <v>15000.0</v>
      </c>
      <c r="Z253" s="14">
        <f t="shared" si="1"/>
        <v>9154</v>
      </c>
      <c r="AA253" s="15">
        <f t="shared" si="2"/>
        <v>-500</v>
      </c>
      <c r="AB253" s="19" t="s">
        <v>39</v>
      </c>
      <c r="AC253" s="17" t="s">
        <v>1482</v>
      </c>
    </row>
    <row r="254">
      <c r="A254" s="17">
        <v>252.0</v>
      </c>
      <c r="B254" s="19" t="s">
        <v>1445</v>
      </c>
      <c r="C254" s="17" t="s">
        <v>1483</v>
      </c>
      <c r="D254" s="17" t="s">
        <v>1484</v>
      </c>
      <c r="E254" s="19" t="s">
        <v>88</v>
      </c>
      <c r="F254" s="17" t="s">
        <v>1485</v>
      </c>
      <c r="G254" s="17" t="s">
        <v>1486</v>
      </c>
      <c r="H254" s="19">
        <v>9.824567744E9</v>
      </c>
      <c r="I254" s="19">
        <v>9.870027875E9</v>
      </c>
      <c r="J254" s="19" t="s">
        <v>33</v>
      </c>
      <c r="K254" s="19">
        <v>18500.0</v>
      </c>
      <c r="L254" s="19" t="s">
        <v>1310</v>
      </c>
      <c r="M254" s="19" t="s">
        <v>92</v>
      </c>
      <c r="N254" s="21" t="s">
        <v>46</v>
      </c>
      <c r="O254" s="19" t="s">
        <v>66</v>
      </c>
      <c r="P254" s="19" t="s">
        <v>79</v>
      </c>
      <c r="Q254" s="18" t="s">
        <v>38</v>
      </c>
      <c r="R254" s="22">
        <v>46029.0</v>
      </c>
      <c r="S254" s="19" t="s">
        <v>294</v>
      </c>
      <c r="T254" s="19" t="s">
        <v>1304</v>
      </c>
      <c r="U254" s="19" t="s">
        <v>33</v>
      </c>
      <c r="V254" s="23">
        <v>36062.0</v>
      </c>
      <c r="W254" s="23">
        <v>37962.0</v>
      </c>
      <c r="X254" s="19">
        <v>24000.0</v>
      </c>
      <c r="Y254" s="19">
        <v>23500.0</v>
      </c>
      <c r="Z254" s="14">
        <f t="shared" si="1"/>
        <v>14462</v>
      </c>
      <c r="AA254" s="15">
        <f t="shared" si="2"/>
        <v>-500</v>
      </c>
      <c r="AB254" s="19" t="s">
        <v>39</v>
      </c>
      <c r="AC254" s="17" t="s">
        <v>1487</v>
      </c>
    </row>
    <row r="255">
      <c r="A255" s="17">
        <v>253.0</v>
      </c>
      <c r="B255" s="19" t="s">
        <v>1445</v>
      </c>
      <c r="C255" s="17" t="s">
        <v>1488</v>
      </c>
      <c r="D255" s="17" t="s">
        <v>1489</v>
      </c>
      <c r="E255" s="19" t="s">
        <v>75</v>
      </c>
      <c r="F255" s="17" t="s">
        <v>1490</v>
      </c>
      <c r="G255" s="17" t="s">
        <v>1491</v>
      </c>
      <c r="H255" s="19">
        <v>9.328922323E9</v>
      </c>
      <c r="I255" s="19"/>
      <c r="J255" s="19" t="s">
        <v>33</v>
      </c>
      <c r="K255" s="19">
        <v>110.0</v>
      </c>
      <c r="L255" s="19" t="s">
        <v>1465</v>
      </c>
      <c r="M255" s="19" t="s">
        <v>574</v>
      </c>
      <c r="N255" s="21" t="s">
        <v>46</v>
      </c>
      <c r="O255" s="19" t="s">
        <v>66</v>
      </c>
      <c r="P255" s="19" t="s">
        <v>1492</v>
      </c>
      <c r="Q255" s="18" t="s">
        <v>38</v>
      </c>
      <c r="R255" s="19" t="s">
        <v>1493</v>
      </c>
      <c r="S255" s="19" t="s">
        <v>33</v>
      </c>
      <c r="T255" s="19" t="s">
        <v>33</v>
      </c>
      <c r="U255" s="19" t="s">
        <v>33</v>
      </c>
      <c r="V255" s="19">
        <v>714.0</v>
      </c>
      <c r="W255" s="19">
        <v>842.0</v>
      </c>
      <c r="X255" s="19">
        <v>850.0</v>
      </c>
      <c r="Y255" s="19">
        <v>850.0</v>
      </c>
      <c r="Z255" s="10">
        <f t="shared" si="1"/>
        <v>-8</v>
      </c>
      <c r="AA255" s="15">
        <f t="shared" si="2"/>
        <v>0</v>
      </c>
      <c r="AB255" s="19" t="s">
        <v>39</v>
      </c>
      <c r="AC255" s="17" t="s">
        <v>1494</v>
      </c>
    </row>
    <row r="256">
      <c r="A256" s="17">
        <v>254.0</v>
      </c>
      <c r="B256" s="19" t="s">
        <v>1445</v>
      </c>
      <c r="C256" s="17" t="s">
        <v>1495</v>
      </c>
      <c r="D256" s="17" t="s">
        <v>1496</v>
      </c>
      <c r="E256" s="19" t="s">
        <v>234</v>
      </c>
      <c r="F256" s="17" t="s">
        <v>1497</v>
      </c>
      <c r="G256" s="17" t="s">
        <v>1498</v>
      </c>
      <c r="H256" s="19">
        <v>9.8795637E9</v>
      </c>
      <c r="I256" s="19"/>
      <c r="J256" s="19" t="s">
        <v>33</v>
      </c>
      <c r="K256" s="19">
        <v>2596.0</v>
      </c>
      <c r="L256" s="19" t="s">
        <v>1310</v>
      </c>
      <c r="M256" s="19" t="s">
        <v>1499</v>
      </c>
      <c r="N256" s="21" t="s">
        <v>46</v>
      </c>
      <c r="O256" s="19" t="s">
        <v>66</v>
      </c>
      <c r="P256" s="19" t="s">
        <v>79</v>
      </c>
      <c r="Q256" s="18" t="s">
        <v>38</v>
      </c>
      <c r="R256" s="19" t="s">
        <v>1218</v>
      </c>
      <c r="S256" s="19" t="s">
        <v>1500</v>
      </c>
      <c r="T256" s="19" t="s">
        <v>33</v>
      </c>
      <c r="U256" s="19" t="s">
        <v>33</v>
      </c>
      <c r="V256" s="23">
        <v>7317.0</v>
      </c>
      <c r="W256" s="23">
        <v>8634.0</v>
      </c>
      <c r="X256" s="19">
        <v>8500.0</v>
      </c>
      <c r="Y256" s="19">
        <v>8500.0</v>
      </c>
      <c r="Z256" s="14">
        <f t="shared" si="1"/>
        <v>134</v>
      </c>
      <c r="AA256" s="15">
        <f t="shared" si="2"/>
        <v>0</v>
      </c>
      <c r="AB256" s="19" t="s">
        <v>39</v>
      </c>
      <c r="AC256" s="17" t="s">
        <v>1501</v>
      </c>
    </row>
    <row r="257">
      <c r="A257" s="17">
        <v>255.0</v>
      </c>
      <c r="B257" s="19" t="s">
        <v>1445</v>
      </c>
      <c r="C257" s="17" t="s">
        <v>1502</v>
      </c>
      <c r="D257" s="17" t="s">
        <v>1503</v>
      </c>
      <c r="E257" s="19" t="s">
        <v>167</v>
      </c>
      <c r="F257" s="17" t="s">
        <v>222</v>
      </c>
      <c r="G257" s="17" t="s">
        <v>1504</v>
      </c>
      <c r="H257" s="19">
        <v>9.913798073E9</v>
      </c>
      <c r="I257" s="19">
        <v>9.825693514E9</v>
      </c>
      <c r="J257" s="19" t="s">
        <v>33</v>
      </c>
      <c r="K257" s="19">
        <v>995.0</v>
      </c>
      <c r="L257" s="19" t="s">
        <v>1505</v>
      </c>
      <c r="M257" s="19" t="s">
        <v>224</v>
      </c>
      <c r="N257" s="21" t="s">
        <v>58</v>
      </c>
      <c r="O257" s="19" t="s">
        <v>66</v>
      </c>
      <c r="P257" s="19" t="s">
        <v>79</v>
      </c>
      <c r="Q257" s="18" t="s">
        <v>38</v>
      </c>
      <c r="R257" s="19" t="s">
        <v>1506</v>
      </c>
      <c r="S257" s="19" t="s">
        <v>1303</v>
      </c>
      <c r="T257" s="19" t="s">
        <v>33</v>
      </c>
      <c r="U257" s="19" t="s">
        <v>33</v>
      </c>
      <c r="V257" s="23">
        <v>5851.0</v>
      </c>
      <c r="W257" s="23">
        <v>6313.0</v>
      </c>
      <c r="X257" s="19">
        <v>5000.0</v>
      </c>
      <c r="Y257" s="19">
        <v>5000.0</v>
      </c>
      <c r="Z257" s="14">
        <f t="shared" si="1"/>
        <v>1313</v>
      </c>
      <c r="AA257" s="15">
        <f t="shared" si="2"/>
        <v>0</v>
      </c>
      <c r="AB257" s="19" t="s">
        <v>39</v>
      </c>
      <c r="AC257" s="17" t="s">
        <v>1507</v>
      </c>
    </row>
    <row r="258">
      <c r="A258" s="17">
        <v>256.0</v>
      </c>
      <c r="B258" s="19" t="s">
        <v>1445</v>
      </c>
      <c r="C258" s="17" t="s">
        <v>1508</v>
      </c>
      <c r="D258" s="17" t="s">
        <v>1509</v>
      </c>
      <c r="E258" s="19" t="s">
        <v>102</v>
      </c>
      <c r="F258" s="17" t="s">
        <v>1510</v>
      </c>
      <c r="G258" s="17" t="s">
        <v>1511</v>
      </c>
      <c r="H258" s="19">
        <v>6.354085692E9</v>
      </c>
      <c r="I258" s="19">
        <v>9.773215487E9</v>
      </c>
      <c r="J258" s="19" t="s">
        <v>33</v>
      </c>
      <c r="K258" s="19">
        <v>717.0</v>
      </c>
      <c r="L258" s="19" t="s">
        <v>208</v>
      </c>
      <c r="M258" s="19" t="s">
        <v>107</v>
      </c>
      <c r="N258" s="21" t="s">
        <v>58</v>
      </c>
      <c r="O258" s="19" t="s">
        <v>59</v>
      </c>
      <c r="P258" s="19" t="s">
        <v>60</v>
      </c>
      <c r="Q258" s="18" t="s">
        <v>38</v>
      </c>
      <c r="R258" s="22">
        <v>46059.0</v>
      </c>
      <c r="S258" s="19" t="s">
        <v>1032</v>
      </c>
      <c r="T258" s="22">
        <v>46213.0</v>
      </c>
      <c r="U258" s="19" t="s">
        <v>33</v>
      </c>
      <c r="V258" s="23">
        <v>6782.0</v>
      </c>
      <c r="W258" s="23">
        <v>8003.0</v>
      </c>
      <c r="X258" s="19">
        <v>6500.0</v>
      </c>
      <c r="Y258" s="19">
        <v>6200.0</v>
      </c>
      <c r="Z258" s="14">
        <f t="shared" si="1"/>
        <v>1803</v>
      </c>
      <c r="AA258" s="15">
        <f t="shared" si="2"/>
        <v>-300</v>
      </c>
      <c r="AB258" s="19" t="s">
        <v>39</v>
      </c>
      <c r="AC258" s="17" t="s">
        <v>1512</v>
      </c>
    </row>
    <row r="259">
      <c r="A259" s="17">
        <v>257.0</v>
      </c>
      <c r="B259" s="19" t="s">
        <v>1445</v>
      </c>
      <c r="C259" s="17" t="s">
        <v>1513</v>
      </c>
      <c r="D259" s="17" t="s">
        <v>1514</v>
      </c>
      <c r="E259" s="19" t="s">
        <v>102</v>
      </c>
      <c r="F259" s="17" t="s">
        <v>111</v>
      </c>
      <c r="G259" s="17" t="s">
        <v>1515</v>
      </c>
      <c r="H259" s="19" t="s">
        <v>1516</v>
      </c>
      <c r="I259" s="19">
        <v>9.574290246E9</v>
      </c>
      <c r="J259" s="19" t="s">
        <v>105</v>
      </c>
      <c r="K259" s="19">
        <v>818.0</v>
      </c>
      <c r="L259" s="19" t="s">
        <v>208</v>
      </c>
      <c r="M259" s="19" t="s">
        <v>107</v>
      </c>
      <c r="N259" s="21" t="s">
        <v>58</v>
      </c>
      <c r="O259" s="19" t="s">
        <v>119</v>
      </c>
      <c r="P259" s="19" t="s">
        <v>60</v>
      </c>
      <c r="Q259" s="18" t="s">
        <v>38</v>
      </c>
      <c r="R259" s="22">
        <v>45418.0</v>
      </c>
      <c r="S259" s="19" t="s">
        <v>1517</v>
      </c>
      <c r="T259" s="22">
        <v>46485.0</v>
      </c>
      <c r="U259" s="19" t="s">
        <v>33</v>
      </c>
      <c r="V259" s="24">
        <v>6812.0</v>
      </c>
      <c r="W259" s="23">
        <v>8038.0</v>
      </c>
      <c r="X259" s="19">
        <v>6500.0</v>
      </c>
      <c r="Y259" s="19">
        <v>6500.0</v>
      </c>
      <c r="Z259" s="14">
        <f t="shared" si="1"/>
        <v>1538</v>
      </c>
      <c r="AA259" s="15">
        <f t="shared" si="2"/>
        <v>0</v>
      </c>
      <c r="AB259" s="19" t="s">
        <v>39</v>
      </c>
      <c r="AC259" s="17" t="s">
        <v>1518</v>
      </c>
    </row>
    <row r="260">
      <c r="A260" s="17">
        <v>258.0</v>
      </c>
      <c r="B260" s="19" t="s">
        <v>1445</v>
      </c>
      <c r="C260" s="17" t="s">
        <v>1519</v>
      </c>
      <c r="D260" s="17" t="s">
        <v>1520</v>
      </c>
      <c r="E260" s="19" t="s">
        <v>102</v>
      </c>
      <c r="F260" s="17" t="s">
        <v>111</v>
      </c>
      <c r="G260" s="17" t="s">
        <v>1521</v>
      </c>
      <c r="H260" s="19">
        <v>8.14120708E9</v>
      </c>
      <c r="I260" s="19">
        <v>9.328641708E9</v>
      </c>
      <c r="J260" s="19" t="s">
        <v>33</v>
      </c>
      <c r="K260" s="19">
        <v>236.0</v>
      </c>
      <c r="L260" s="19" t="s">
        <v>1310</v>
      </c>
      <c r="M260" s="19" t="s">
        <v>107</v>
      </c>
      <c r="N260" s="21" t="s">
        <v>58</v>
      </c>
      <c r="O260" s="19" t="s">
        <v>153</v>
      </c>
      <c r="P260" s="19" t="s">
        <v>60</v>
      </c>
      <c r="Q260" s="18" t="s">
        <v>38</v>
      </c>
      <c r="R260" s="19" t="s">
        <v>1415</v>
      </c>
      <c r="S260" s="19" t="s">
        <v>1072</v>
      </c>
      <c r="T260" s="19" t="s">
        <v>212</v>
      </c>
      <c r="U260" s="19" t="s">
        <v>33</v>
      </c>
      <c r="V260" s="19">
        <v>6788.0</v>
      </c>
      <c r="W260" s="19">
        <v>8010.0</v>
      </c>
      <c r="X260" s="19">
        <v>6500.0</v>
      </c>
      <c r="Y260" s="19">
        <v>6300.0</v>
      </c>
      <c r="Z260" s="10">
        <f t="shared" si="1"/>
        <v>1710</v>
      </c>
      <c r="AA260" s="15">
        <f t="shared" si="2"/>
        <v>-200</v>
      </c>
      <c r="AB260" s="19" t="s">
        <v>39</v>
      </c>
      <c r="AC260" s="17" t="s">
        <v>1522</v>
      </c>
    </row>
    <row r="261">
      <c r="A261" s="17">
        <v>259.0</v>
      </c>
      <c r="B261" s="19" t="s">
        <v>1445</v>
      </c>
      <c r="C261" s="17" t="s">
        <v>1523</v>
      </c>
      <c r="D261" s="17" t="s">
        <v>1524</v>
      </c>
      <c r="E261" s="19" t="s">
        <v>30</v>
      </c>
      <c r="F261" s="17" t="s">
        <v>1525</v>
      </c>
      <c r="G261" s="17" t="s">
        <v>1526</v>
      </c>
      <c r="H261" s="19">
        <v>6.352098308E9</v>
      </c>
      <c r="I261" s="19">
        <v>9.316521969E9</v>
      </c>
      <c r="J261" s="19" t="s">
        <v>1527</v>
      </c>
      <c r="K261" s="19">
        <v>796.0</v>
      </c>
      <c r="L261" s="19" t="s">
        <v>1200</v>
      </c>
      <c r="M261" s="19" t="s">
        <v>78</v>
      </c>
      <c r="N261" s="21" t="s">
        <v>46</v>
      </c>
      <c r="O261" s="19" t="s">
        <v>59</v>
      </c>
      <c r="P261" s="19" t="s">
        <v>37</v>
      </c>
      <c r="Q261" s="18" t="s">
        <v>38</v>
      </c>
      <c r="R261" s="22">
        <v>48305.0</v>
      </c>
      <c r="S261" s="22">
        <v>46175.0</v>
      </c>
      <c r="T261" s="19" t="s">
        <v>33</v>
      </c>
      <c r="U261" s="19" t="s">
        <v>33</v>
      </c>
      <c r="V261" s="19">
        <v>2094.0</v>
      </c>
      <c r="W261" s="19">
        <v>2470.0</v>
      </c>
      <c r="X261" s="19">
        <v>2500.0</v>
      </c>
      <c r="Y261" s="19">
        <v>2500.0</v>
      </c>
      <c r="Z261" s="10">
        <f t="shared" si="1"/>
        <v>-30</v>
      </c>
      <c r="AA261" s="15">
        <f t="shared" si="2"/>
        <v>0</v>
      </c>
      <c r="AB261" s="19" t="s">
        <v>39</v>
      </c>
      <c r="AC261" s="17" t="s">
        <v>1528</v>
      </c>
    </row>
    <row r="262">
      <c r="A262" s="17">
        <v>260.0</v>
      </c>
      <c r="B262" s="19" t="s">
        <v>1445</v>
      </c>
      <c r="C262" s="17" t="s">
        <v>1529</v>
      </c>
      <c r="D262" s="17" t="s">
        <v>1530</v>
      </c>
      <c r="E262" s="19" t="s">
        <v>88</v>
      </c>
      <c r="F262" s="17" t="s">
        <v>1531</v>
      </c>
      <c r="G262" s="17" t="s">
        <v>1532</v>
      </c>
      <c r="H262" s="19">
        <v>7.359264835E9</v>
      </c>
      <c r="I262" s="19" t="s">
        <v>1533</v>
      </c>
      <c r="J262" s="19" t="s">
        <v>33</v>
      </c>
      <c r="K262" s="19">
        <v>25000.0</v>
      </c>
      <c r="L262" s="19" t="s">
        <v>208</v>
      </c>
      <c r="M262" s="19" t="s">
        <v>92</v>
      </c>
      <c r="N262" s="21" t="s">
        <v>46</v>
      </c>
      <c r="O262" s="19" t="s">
        <v>66</v>
      </c>
      <c r="P262" s="19" t="s">
        <v>79</v>
      </c>
      <c r="Q262" s="18" t="s">
        <v>38</v>
      </c>
      <c r="R262" s="19" t="s">
        <v>503</v>
      </c>
      <c r="S262" s="19" t="s">
        <v>792</v>
      </c>
      <c r="T262" s="19" t="s">
        <v>1534</v>
      </c>
      <c r="U262" s="19" t="s">
        <v>33</v>
      </c>
      <c r="V262" s="23">
        <v>44649.0</v>
      </c>
      <c r="W262" s="23">
        <v>46972.0</v>
      </c>
      <c r="X262" s="19">
        <v>29000.0</v>
      </c>
      <c r="Y262" s="19">
        <v>29000.0</v>
      </c>
      <c r="Z262" s="14">
        <f t="shared" si="1"/>
        <v>17972</v>
      </c>
      <c r="AA262" s="15">
        <f t="shared" si="2"/>
        <v>0</v>
      </c>
      <c r="AB262" s="19" t="s">
        <v>39</v>
      </c>
      <c r="AC262" s="17" t="s">
        <v>1535</v>
      </c>
    </row>
    <row r="263">
      <c r="A263" s="17">
        <v>261.0</v>
      </c>
      <c r="B263" s="19" t="s">
        <v>1445</v>
      </c>
      <c r="C263" s="17" t="s">
        <v>1536</v>
      </c>
      <c r="D263" s="17" t="s">
        <v>1537</v>
      </c>
      <c r="E263" s="19" t="s">
        <v>88</v>
      </c>
      <c r="F263" s="17" t="s">
        <v>1538</v>
      </c>
      <c r="G263" s="17" t="s">
        <v>1539</v>
      </c>
      <c r="H263" s="19">
        <v>9.979654489E9</v>
      </c>
      <c r="I263" s="19" t="s">
        <v>1540</v>
      </c>
      <c r="J263" s="19" t="s">
        <v>33</v>
      </c>
      <c r="K263" s="19">
        <v>18500.0</v>
      </c>
      <c r="L263" s="19" t="s">
        <v>1310</v>
      </c>
      <c r="M263" s="19" t="s">
        <v>92</v>
      </c>
      <c r="N263" s="21" t="s">
        <v>46</v>
      </c>
      <c r="O263" s="19" t="s">
        <v>66</v>
      </c>
      <c r="P263" s="19" t="s">
        <v>79</v>
      </c>
      <c r="Q263" s="18" t="s">
        <v>38</v>
      </c>
      <c r="R263" s="19" t="s">
        <v>1541</v>
      </c>
      <c r="S263" s="19" t="s">
        <v>1542</v>
      </c>
      <c r="T263" s="19" t="s">
        <v>1543</v>
      </c>
      <c r="U263" s="19" t="s">
        <v>33</v>
      </c>
      <c r="V263" s="19">
        <v>36012.0</v>
      </c>
      <c r="W263" s="19">
        <v>37903.0</v>
      </c>
      <c r="X263" s="19">
        <v>24000.0</v>
      </c>
      <c r="Y263" s="19">
        <v>24000.0</v>
      </c>
      <c r="Z263" s="10">
        <f t="shared" si="1"/>
        <v>13903</v>
      </c>
      <c r="AA263" s="15">
        <f t="shared" si="2"/>
        <v>0</v>
      </c>
      <c r="AB263" s="19" t="s">
        <v>39</v>
      </c>
      <c r="AC263" s="17" t="s">
        <v>1544</v>
      </c>
    </row>
    <row r="264">
      <c r="A264" s="17">
        <v>262.0</v>
      </c>
      <c r="B264" s="19" t="s">
        <v>1445</v>
      </c>
      <c r="C264" s="17" t="s">
        <v>1545</v>
      </c>
      <c r="D264" s="17" t="s">
        <v>1546</v>
      </c>
      <c r="E264" s="19" t="s">
        <v>410</v>
      </c>
      <c r="F264" s="17" t="s">
        <v>1547</v>
      </c>
      <c r="G264" s="17" t="s">
        <v>1548</v>
      </c>
      <c r="H264" s="19">
        <v>8.347342547E9</v>
      </c>
      <c r="I264" s="19">
        <v>7.984559073E9</v>
      </c>
      <c r="J264" s="19" t="s">
        <v>33</v>
      </c>
      <c r="K264" s="19">
        <v>2184.0</v>
      </c>
      <c r="L264" s="19" t="s">
        <v>1310</v>
      </c>
      <c r="M264" s="19" t="s">
        <v>107</v>
      </c>
      <c r="N264" s="21" t="s">
        <v>58</v>
      </c>
      <c r="O264" s="19" t="s">
        <v>129</v>
      </c>
      <c r="P264" s="19" t="s">
        <v>60</v>
      </c>
      <c r="Q264" s="18" t="s">
        <v>38</v>
      </c>
      <c r="R264" s="19" t="s">
        <v>1549</v>
      </c>
      <c r="S264" s="19" t="s">
        <v>1415</v>
      </c>
      <c r="T264" s="22">
        <v>47240.0</v>
      </c>
      <c r="U264" s="19" t="s">
        <v>33</v>
      </c>
      <c r="V264" s="24">
        <v>27171.0</v>
      </c>
      <c r="W264" s="24">
        <v>32062.0</v>
      </c>
      <c r="X264" s="19">
        <v>30000.0</v>
      </c>
      <c r="Y264" s="19">
        <v>30000.0</v>
      </c>
      <c r="Z264" s="15">
        <f t="shared" si="1"/>
        <v>2062</v>
      </c>
      <c r="AA264" s="15">
        <f t="shared" si="2"/>
        <v>0</v>
      </c>
      <c r="AB264" s="19" t="s">
        <v>39</v>
      </c>
      <c r="AC264" s="17" t="s">
        <v>1550</v>
      </c>
    </row>
    <row r="265">
      <c r="A265" s="17">
        <v>263.0</v>
      </c>
      <c r="B265" s="19" t="s">
        <v>1445</v>
      </c>
      <c r="C265" s="17" t="s">
        <v>1551</v>
      </c>
      <c r="D265" s="17" t="s">
        <v>1552</v>
      </c>
      <c r="E265" s="19" t="s">
        <v>88</v>
      </c>
      <c r="F265" s="17" t="s">
        <v>1553</v>
      </c>
      <c r="G265" s="17" t="s">
        <v>1554</v>
      </c>
      <c r="H265" s="19">
        <v>9.879883614E9</v>
      </c>
      <c r="I265" s="19">
        <v>7.573883614E9</v>
      </c>
      <c r="J265" s="19" t="s">
        <v>105</v>
      </c>
      <c r="K265" s="19">
        <v>35000.0</v>
      </c>
      <c r="L265" s="19" t="s">
        <v>208</v>
      </c>
      <c r="M265" s="19" t="s">
        <v>152</v>
      </c>
      <c r="N265" s="21" t="s">
        <v>58</v>
      </c>
      <c r="O265" s="19" t="s">
        <v>209</v>
      </c>
      <c r="P265" s="19" t="s">
        <v>60</v>
      </c>
      <c r="Q265" s="18" t="s">
        <v>38</v>
      </c>
      <c r="R265" s="19" t="s">
        <v>1555</v>
      </c>
      <c r="S265" s="22">
        <v>46365.0</v>
      </c>
      <c r="T265" s="19" t="s">
        <v>1556</v>
      </c>
      <c r="U265" s="19" t="s">
        <v>33</v>
      </c>
      <c r="V265" s="23">
        <v>49256.75</v>
      </c>
      <c r="W265" s="23">
        <v>52409.0</v>
      </c>
      <c r="X265" s="19">
        <v>42147.0</v>
      </c>
      <c r="Y265" s="19">
        <v>42000.0</v>
      </c>
      <c r="Z265" s="14">
        <f t="shared" si="1"/>
        <v>10409</v>
      </c>
      <c r="AA265" s="15">
        <f t="shared" si="2"/>
        <v>-147</v>
      </c>
      <c r="AB265" s="19" t="s">
        <v>39</v>
      </c>
      <c r="AC265" s="17" t="s">
        <v>1557</v>
      </c>
    </row>
    <row r="266">
      <c r="A266" s="17">
        <v>264.0</v>
      </c>
      <c r="B266" s="19" t="s">
        <v>1445</v>
      </c>
      <c r="C266" s="17" t="s">
        <v>1558</v>
      </c>
      <c r="D266" s="18">
        <v>9.00928068E8</v>
      </c>
      <c r="E266" s="19" t="s">
        <v>30</v>
      </c>
      <c r="F266" s="17" t="s">
        <v>31</v>
      </c>
      <c r="G266" s="17" t="s">
        <v>1559</v>
      </c>
      <c r="H266" s="19" t="s">
        <v>1560</v>
      </c>
      <c r="I266" s="19" t="s">
        <v>1561</v>
      </c>
      <c r="J266" s="19" t="s">
        <v>33</v>
      </c>
      <c r="K266" s="19">
        <v>1197.0</v>
      </c>
      <c r="L266" s="19" t="s">
        <v>208</v>
      </c>
      <c r="M266" s="19" t="s">
        <v>34</v>
      </c>
      <c r="N266" s="21" t="s">
        <v>58</v>
      </c>
      <c r="O266" s="19" t="s">
        <v>36</v>
      </c>
      <c r="P266" s="19" t="s">
        <v>37</v>
      </c>
      <c r="Q266" s="18" t="s">
        <v>38</v>
      </c>
      <c r="R266" s="22">
        <v>50225.0</v>
      </c>
      <c r="S266" s="19" t="s">
        <v>1562</v>
      </c>
      <c r="T266" s="19" t="s">
        <v>33</v>
      </c>
      <c r="U266" s="19" t="s">
        <v>33</v>
      </c>
      <c r="V266" s="23">
        <v>14099.52</v>
      </c>
      <c r="W266" s="23">
        <v>16637.0</v>
      </c>
      <c r="X266" s="19">
        <v>16700.0</v>
      </c>
      <c r="Y266" s="19">
        <v>16700.0</v>
      </c>
      <c r="Z266" s="14">
        <f t="shared" si="1"/>
        <v>-63</v>
      </c>
      <c r="AA266" s="15">
        <f t="shared" si="2"/>
        <v>0</v>
      </c>
      <c r="AB266" s="19" t="s">
        <v>39</v>
      </c>
      <c r="AC266" s="17" t="s">
        <v>1563</v>
      </c>
    </row>
    <row r="267">
      <c r="A267" s="17">
        <v>265.0</v>
      </c>
      <c r="B267" s="19" t="s">
        <v>1445</v>
      </c>
      <c r="C267" s="17" t="s">
        <v>1564</v>
      </c>
      <c r="D267" s="17" t="s">
        <v>1565</v>
      </c>
      <c r="E267" s="19" t="s">
        <v>52</v>
      </c>
      <c r="F267" s="17" t="s">
        <v>1566</v>
      </c>
      <c r="G267" s="17" t="s">
        <v>1567</v>
      </c>
      <c r="H267" s="19" t="s">
        <v>1568</v>
      </c>
      <c r="I267" s="19"/>
      <c r="J267" s="19" t="s">
        <v>33</v>
      </c>
      <c r="K267" s="19">
        <v>2145.0</v>
      </c>
      <c r="L267" s="19" t="s">
        <v>1310</v>
      </c>
      <c r="M267" s="19" t="s">
        <v>152</v>
      </c>
      <c r="N267" s="21" t="s">
        <v>58</v>
      </c>
      <c r="O267" s="19" t="s">
        <v>59</v>
      </c>
      <c r="P267" s="19" t="s">
        <v>60</v>
      </c>
      <c r="Q267" s="18" t="s">
        <v>38</v>
      </c>
      <c r="R267" s="19" t="s">
        <v>1569</v>
      </c>
      <c r="S267" s="19" t="s">
        <v>210</v>
      </c>
      <c r="T267" s="19" t="s">
        <v>33</v>
      </c>
      <c r="U267" s="19" t="s">
        <v>33</v>
      </c>
      <c r="V267" s="23">
        <v>16970.23</v>
      </c>
      <c r="W267" s="23">
        <v>17939.0</v>
      </c>
      <c r="X267" s="19">
        <v>12000.0</v>
      </c>
      <c r="Y267" s="19">
        <v>12000.0</v>
      </c>
      <c r="Z267" s="14">
        <f t="shared" si="1"/>
        <v>5939</v>
      </c>
      <c r="AA267" s="15">
        <f t="shared" si="2"/>
        <v>0</v>
      </c>
      <c r="AB267" s="19" t="s">
        <v>39</v>
      </c>
      <c r="AC267" s="17" t="s">
        <v>1570</v>
      </c>
    </row>
    <row r="268">
      <c r="A268" s="17">
        <v>266.0</v>
      </c>
      <c r="B268" s="19" t="s">
        <v>1445</v>
      </c>
      <c r="C268" s="17" t="s">
        <v>1571</v>
      </c>
      <c r="D268" s="17" t="s">
        <v>1572</v>
      </c>
      <c r="E268" s="19" t="s">
        <v>52</v>
      </c>
      <c r="F268" s="17" t="s">
        <v>1573</v>
      </c>
      <c r="G268" s="17" t="s">
        <v>1574</v>
      </c>
      <c r="H268" s="19">
        <v>9.726782298E9</v>
      </c>
      <c r="I268" s="19">
        <v>9.998226157E9</v>
      </c>
      <c r="J268" s="19" t="s">
        <v>33</v>
      </c>
      <c r="K268" s="19">
        <v>3225.0</v>
      </c>
      <c r="L268" s="19" t="s">
        <v>1310</v>
      </c>
      <c r="M268" s="19" t="s">
        <v>57</v>
      </c>
      <c r="N268" s="21" t="s">
        <v>58</v>
      </c>
      <c r="O268" s="19" t="s">
        <v>209</v>
      </c>
      <c r="P268" s="19" t="s">
        <v>60</v>
      </c>
      <c r="Q268" s="18" t="s">
        <v>38</v>
      </c>
      <c r="R268" s="19" t="s">
        <v>1575</v>
      </c>
      <c r="S268" s="19" t="s">
        <v>1576</v>
      </c>
      <c r="T268" s="19" t="s">
        <v>1577</v>
      </c>
      <c r="U268" s="19" t="s">
        <v>33</v>
      </c>
      <c r="V268" s="23">
        <v>18511.0</v>
      </c>
      <c r="W268" s="23">
        <v>19745.0</v>
      </c>
      <c r="X268" s="19">
        <v>13163.0</v>
      </c>
      <c r="Y268" s="19">
        <v>13000.0</v>
      </c>
      <c r="Z268" s="14">
        <f t="shared" si="1"/>
        <v>6745</v>
      </c>
      <c r="AA268" s="15">
        <f t="shared" si="2"/>
        <v>-163</v>
      </c>
      <c r="AB268" s="19" t="s">
        <v>39</v>
      </c>
      <c r="AC268" s="17" t="s">
        <v>1578</v>
      </c>
    </row>
    <row r="269">
      <c r="A269" s="17">
        <v>267.0</v>
      </c>
      <c r="B269" s="19" t="s">
        <v>1445</v>
      </c>
      <c r="C269" s="17" t="s">
        <v>1579</v>
      </c>
      <c r="D269" s="17" t="s">
        <v>1580</v>
      </c>
      <c r="E269" s="19" t="s">
        <v>52</v>
      </c>
      <c r="F269" s="17" t="s">
        <v>1581</v>
      </c>
      <c r="G269" s="17" t="s">
        <v>1582</v>
      </c>
      <c r="H269" s="19">
        <v>8.758782225E9</v>
      </c>
      <c r="I269" s="19">
        <v>9.512095118E9</v>
      </c>
      <c r="J269" s="19" t="s">
        <v>33</v>
      </c>
      <c r="K269" s="19">
        <v>1600.0</v>
      </c>
      <c r="L269" s="19" t="s">
        <v>208</v>
      </c>
      <c r="M269" s="19" t="s">
        <v>152</v>
      </c>
      <c r="N269" s="21" t="s">
        <v>58</v>
      </c>
      <c r="O269" s="19" t="s">
        <v>93</v>
      </c>
      <c r="P269" s="19" t="s">
        <v>60</v>
      </c>
      <c r="Q269" s="18" t="s">
        <v>38</v>
      </c>
      <c r="R269" s="19" t="s">
        <v>1583</v>
      </c>
      <c r="S269" s="19" t="s">
        <v>1584</v>
      </c>
      <c r="T269" s="19" t="s">
        <v>33</v>
      </c>
      <c r="U269" s="19" t="s">
        <v>33</v>
      </c>
      <c r="V269" s="23">
        <v>19716.68</v>
      </c>
      <c r="W269" s="23">
        <v>21179.0</v>
      </c>
      <c r="X269" s="19">
        <v>13563.0</v>
      </c>
      <c r="Y269" s="19">
        <v>13500.0</v>
      </c>
      <c r="Z269" s="14">
        <f t="shared" si="1"/>
        <v>7679</v>
      </c>
      <c r="AA269" s="15">
        <f t="shared" si="2"/>
        <v>-63</v>
      </c>
      <c r="AB269" s="19" t="s">
        <v>39</v>
      </c>
      <c r="AC269" s="17" t="s">
        <v>1585</v>
      </c>
    </row>
    <row r="270">
      <c r="A270" s="17">
        <v>268.0</v>
      </c>
      <c r="B270" s="19" t="s">
        <v>1445</v>
      </c>
      <c r="C270" s="17" t="s">
        <v>1586</v>
      </c>
      <c r="D270" s="17" t="s">
        <v>1587</v>
      </c>
      <c r="E270" s="19" t="s">
        <v>88</v>
      </c>
      <c r="F270" s="17" t="s">
        <v>1588</v>
      </c>
      <c r="G270" s="17" t="s">
        <v>1589</v>
      </c>
      <c r="H270" s="19">
        <v>7.984709982E9</v>
      </c>
      <c r="I270" s="19">
        <v>9.925732873E9</v>
      </c>
      <c r="J270" s="19" t="s">
        <v>33</v>
      </c>
      <c r="K270" s="19">
        <v>18500.0</v>
      </c>
      <c r="L270" s="19" t="s">
        <v>208</v>
      </c>
      <c r="M270" s="19" t="s">
        <v>152</v>
      </c>
      <c r="N270" s="21" t="s">
        <v>58</v>
      </c>
      <c r="O270" s="19" t="s">
        <v>129</v>
      </c>
      <c r="P270" s="19" t="s">
        <v>60</v>
      </c>
      <c r="Q270" s="18" t="s">
        <v>38</v>
      </c>
      <c r="R270" s="22">
        <v>45937.0</v>
      </c>
      <c r="S270" s="22">
        <v>45299.0</v>
      </c>
      <c r="T270" s="19" t="s">
        <v>1590</v>
      </c>
      <c r="U270" s="19" t="s">
        <v>33</v>
      </c>
      <c r="V270" s="24">
        <v>37202.53</v>
      </c>
      <c r="W270" s="23">
        <v>39308.0</v>
      </c>
      <c r="X270" s="19">
        <v>33013.0</v>
      </c>
      <c r="Y270" s="19">
        <v>33000.0</v>
      </c>
      <c r="Z270" s="14">
        <f t="shared" si="1"/>
        <v>6308</v>
      </c>
      <c r="AA270" s="15">
        <f t="shared" si="2"/>
        <v>-13</v>
      </c>
      <c r="AB270" s="19" t="s">
        <v>39</v>
      </c>
      <c r="AC270" s="17" t="s">
        <v>1591</v>
      </c>
    </row>
    <row r="271">
      <c r="A271" s="35">
        <v>269.0</v>
      </c>
      <c r="B271" s="37" t="s">
        <v>1592</v>
      </c>
      <c r="C271" s="35" t="s">
        <v>1593</v>
      </c>
      <c r="D271" s="35" t="s">
        <v>1594</v>
      </c>
      <c r="E271" s="37" t="s">
        <v>88</v>
      </c>
      <c r="F271" s="35" t="s">
        <v>1595</v>
      </c>
      <c r="G271" s="35" t="s">
        <v>1596</v>
      </c>
      <c r="H271" s="37" t="s">
        <v>1597</v>
      </c>
      <c r="I271" s="37" t="s">
        <v>1598</v>
      </c>
      <c r="J271" s="37" t="s">
        <v>33</v>
      </c>
      <c r="K271" s="37">
        <v>16140.0</v>
      </c>
      <c r="L271" s="37" t="s">
        <v>1599</v>
      </c>
      <c r="M271" s="37" t="s">
        <v>152</v>
      </c>
      <c r="N271" s="39" t="s">
        <v>58</v>
      </c>
      <c r="O271" s="37" t="s">
        <v>209</v>
      </c>
      <c r="P271" s="37" t="s">
        <v>79</v>
      </c>
      <c r="Q271" s="54" t="s">
        <v>38</v>
      </c>
      <c r="R271" s="37" t="s">
        <v>1393</v>
      </c>
      <c r="S271" s="37" t="s">
        <v>940</v>
      </c>
      <c r="T271" s="37" t="s">
        <v>1600</v>
      </c>
      <c r="U271" s="37" t="s">
        <v>33</v>
      </c>
      <c r="V271" s="41">
        <v>39035.06</v>
      </c>
      <c r="W271" s="41">
        <v>41471.0</v>
      </c>
      <c r="X271" s="37">
        <v>37500.0</v>
      </c>
      <c r="Y271" s="37">
        <v>36500.0</v>
      </c>
      <c r="Z271" s="45">
        <f t="shared" si="1"/>
        <v>4971</v>
      </c>
      <c r="AA271" s="15">
        <f t="shared" si="2"/>
        <v>-1000</v>
      </c>
      <c r="AB271" s="37" t="s">
        <v>39</v>
      </c>
      <c r="AC271" s="35" t="s">
        <v>1601</v>
      </c>
    </row>
    <row r="272">
      <c r="A272" s="17">
        <v>270.0</v>
      </c>
      <c r="B272" s="19" t="s">
        <v>1592</v>
      </c>
      <c r="C272" s="17" t="s">
        <v>1602</v>
      </c>
      <c r="D272" s="17" t="s">
        <v>1603</v>
      </c>
      <c r="E272" s="19" t="s">
        <v>30</v>
      </c>
      <c r="F272" s="17" t="s">
        <v>1604</v>
      </c>
      <c r="G272" s="17" t="s">
        <v>1605</v>
      </c>
      <c r="H272" s="19">
        <v>8.86630903E9</v>
      </c>
      <c r="I272" s="19">
        <v>9.727825319E9</v>
      </c>
      <c r="J272" s="19" t="s">
        <v>33</v>
      </c>
      <c r="K272" s="19">
        <v>1493.0</v>
      </c>
      <c r="L272" s="19" t="s">
        <v>1606</v>
      </c>
      <c r="M272" s="19" t="s">
        <v>92</v>
      </c>
      <c r="N272" s="21" t="s">
        <v>58</v>
      </c>
      <c r="O272" s="19" t="s">
        <v>424</v>
      </c>
      <c r="P272" s="19" t="s">
        <v>37</v>
      </c>
      <c r="Q272" s="18" t="s">
        <v>38</v>
      </c>
      <c r="R272" s="22">
        <v>49370.0</v>
      </c>
      <c r="S272" s="22">
        <v>46367.0</v>
      </c>
      <c r="T272" s="19" t="s">
        <v>33</v>
      </c>
      <c r="U272" s="19" t="s">
        <v>33</v>
      </c>
      <c r="V272" s="23">
        <v>6604.0</v>
      </c>
      <c r="W272" s="19">
        <v>7793.0</v>
      </c>
      <c r="X272" s="19">
        <v>9127.0</v>
      </c>
      <c r="Y272" s="19">
        <v>9127.0</v>
      </c>
      <c r="Z272" s="10">
        <f t="shared" si="1"/>
        <v>-1334</v>
      </c>
      <c r="AA272" s="15">
        <f t="shared" si="2"/>
        <v>0</v>
      </c>
      <c r="AB272" s="19" t="s">
        <v>39</v>
      </c>
      <c r="AC272" s="17" t="s">
        <v>1607</v>
      </c>
    </row>
    <row r="273">
      <c r="A273" s="17">
        <v>271.0</v>
      </c>
      <c r="B273" s="19" t="s">
        <v>1592</v>
      </c>
      <c r="C273" s="17" t="s">
        <v>1608</v>
      </c>
      <c r="D273" s="18" t="s">
        <v>1609</v>
      </c>
      <c r="E273" s="19" t="s">
        <v>88</v>
      </c>
      <c r="F273" s="17" t="s">
        <v>1610</v>
      </c>
      <c r="G273" s="17" t="s">
        <v>1611</v>
      </c>
      <c r="H273" s="19">
        <v>8.86630903E9</v>
      </c>
      <c r="I273" s="19">
        <v>9.727825319E9</v>
      </c>
      <c r="J273" s="19" t="s">
        <v>33</v>
      </c>
      <c r="K273" s="19">
        <v>45500.0</v>
      </c>
      <c r="L273" s="19" t="s">
        <v>1612</v>
      </c>
      <c r="M273" s="19" t="s">
        <v>107</v>
      </c>
      <c r="N273" s="21" t="s">
        <v>58</v>
      </c>
      <c r="O273" s="19" t="s">
        <v>424</v>
      </c>
      <c r="P273" s="19" t="s">
        <v>60</v>
      </c>
      <c r="Q273" s="18" t="s">
        <v>38</v>
      </c>
      <c r="R273" s="22">
        <v>46540.0</v>
      </c>
      <c r="S273" s="22">
        <v>46115.0</v>
      </c>
      <c r="T273" s="22">
        <v>46936.0</v>
      </c>
      <c r="U273" s="19" t="s">
        <v>33</v>
      </c>
      <c r="V273" s="23">
        <v>73911.0</v>
      </c>
      <c r="W273" s="19">
        <v>81465.0</v>
      </c>
      <c r="X273" s="19">
        <v>78000.0</v>
      </c>
      <c r="Y273" s="19">
        <v>79000.0</v>
      </c>
      <c r="Z273" s="10">
        <f t="shared" si="1"/>
        <v>2465</v>
      </c>
      <c r="AA273" s="15">
        <f t="shared" si="2"/>
        <v>1000</v>
      </c>
      <c r="AB273" s="19" t="s">
        <v>39</v>
      </c>
      <c r="AC273" s="17" t="s">
        <v>1613</v>
      </c>
    </row>
    <row r="274">
      <c r="A274" s="17">
        <v>272.0</v>
      </c>
      <c r="B274" s="19" t="s">
        <v>1592</v>
      </c>
      <c r="C274" s="17" t="s">
        <v>1614</v>
      </c>
      <c r="D274" s="18" t="s">
        <v>1615</v>
      </c>
      <c r="E274" s="19" t="s">
        <v>88</v>
      </c>
      <c r="F274" s="17" t="s">
        <v>1610</v>
      </c>
      <c r="G274" s="17" t="s">
        <v>1611</v>
      </c>
      <c r="H274" s="19">
        <v>8.86630903E9</v>
      </c>
      <c r="I274" s="19">
        <v>9.727825319E9</v>
      </c>
      <c r="J274" s="19" t="s">
        <v>33</v>
      </c>
      <c r="K274" s="19">
        <v>45500.0</v>
      </c>
      <c r="L274" s="19" t="s">
        <v>1612</v>
      </c>
      <c r="M274" s="19" t="s">
        <v>107</v>
      </c>
      <c r="N274" s="21" t="s">
        <v>58</v>
      </c>
      <c r="O274" s="19" t="s">
        <v>424</v>
      </c>
      <c r="P274" s="19" t="s">
        <v>60</v>
      </c>
      <c r="Q274" s="18" t="s">
        <v>38</v>
      </c>
      <c r="R274" s="22">
        <v>46540.0</v>
      </c>
      <c r="S274" s="19" t="s">
        <v>557</v>
      </c>
      <c r="T274" s="22">
        <v>46936.0</v>
      </c>
      <c r="U274" s="19" t="s">
        <v>33</v>
      </c>
      <c r="V274" s="23">
        <v>73911.0</v>
      </c>
      <c r="W274" s="23">
        <v>81465.0</v>
      </c>
      <c r="X274" s="19">
        <v>78000.0</v>
      </c>
      <c r="Y274" s="19">
        <v>79000.0</v>
      </c>
      <c r="Z274" s="14">
        <f t="shared" si="1"/>
        <v>2465</v>
      </c>
      <c r="AA274" s="15">
        <f t="shared" si="2"/>
        <v>1000</v>
      </c>
      <c r="AB274" s="19" t="s">
        <v>39</v>
      </c>
      <c r="AC274" s="17" t="s">
        <v>1613</v>
      </c>
    </row>
    <row r="275">
      <c r="A275" s="17">
        <v>273.0</v>
      </c>
      <c r="B275" s="19" t="s">
        <v>1592</v>
      </c>
      <c r="C275" s="17" t="s">
        <v>1616</v>
      </c>
      <c r="D275" s="18">
        <v>1.000130801E9</v>
      </c>
      <c r="E275" s="19" t="s">
        <v>30</v>
      </c>
      <c r="F275" s="17" t="s">
        <v>1617</v>
      </c>
      <c r="G275" s="17" t="s">
        <v>1618</v>
      </c>
      <c r="H275" s="19">
        <v>9.714626552E9</v>
      </c>
      <c r="I275" s="19">
        <v>9.879583037E9</v>
      </c>
      <c r="J275" s="19" t="s">
        <v>33</v>
      </c>
      <c r="K275" s="23">
        <v>1196.0</v>
      </c>
      <c r="L275" s="19" t="s">
        <v>1505</v>
      </c>
      <c r="M275" s="19" t="s">
        <v>34</v>
      </c>
      <c r="N275" s="21" t="s">
        <v>46</v>
      </c>
      <c r="O275" s="19" t="s">
        <v>439</v>
      </c>
      <c r="P275" s="19" t="s">
        <v>1492</v>
      </c>
      <c r="Q275" s="18" t="s">
        <v>38</v>
      </c>
      <c r="R275" s="22">
        <v>46603.0</v>
      </c>
      <c r="S275" s="22">
        <v>46055.0</v>
      </c>
      <c r="T275" s="19" t="s">
        <v>33</v>
      </c>
      <c r="U275" s="19" t="s">
        <v>33</v>
      </c>
      <c r="V275" s="24">
        <v>3996.0</v>
      </c>
      <c r="W275" s="23">
        <v>4715.28</v>
      </c>
      <c r="X275" s="19">
        <v>4800.0</v>
      </c>
      <c r="Y275" s="19">
        <v>4800.0</v>
      </c>
      <c r="Z275" s="14">
        <f t="shared" si="1"/>
        <v>-84.72</v>
      </c>
      <c r="AA275" s="15">
        <f t="shared" si="2"/>
        <v>0</v>
      </c>
      <c r="AB275" s="19" t="s">
        <v>39</v>
      </c>
      <c r="AC275" s="17" t="s">
        <v>1619</v>
      </c>
    </row>
    <row r="276">
      <c r="A276" s="17">
        <v>274.0</v>
      </c>
      <c r="B276" s="19" t="s">
        <v>1592</v>
      </c>
      <c r="C276" s="17" t="s">
        <v>1620</v>
      </c>
      <c r="D276" s="18" t="s">
        <v>1621</v>
      </c>
      <c r="E276" s="19" t="s">
        <v>30</v>
      </c>
      <c r="F276" s="17" t="s">
        <v>1622</v>
      </c>
      <c r="G276" s="17" t="s">
        <v>1623</v>
      </c>
      <c r="H276" s="19">
        <v>9.979374474E9</v>
      </c>
      <c r="I276" s="19">
        <v>9.067593333E9</v>
      </c>
      <c r="J276" s="19" t="s">
        <v>33</v>
      </c>
      <c r="K276" s="19">
        <v>2494.0</v>
      </c>
      <c r="L276" s="19" t="s">
        <v>1310</v>
      </c>
      <c r="M276" s="19" t="s">
        <v>591</v>
      </c>
      <c r="N276" s="21" t="s">
        <v>58</v>
      </c>
      <c r="O276" s="19" t="s">
        <v>161</v>
      </c>
      <c r="P276" s="19" t="s">
        <v>37</v>
      </c>
      <c r="Q276" s="18" t="s">
        <v>38</v>
      </c>
      <c r="R276" s="19" t="s">
        <v>1624</v>
      </c>
      <c r="S276" s="19" t="s">
        <v>279</v>
      </c>
      <c r="T276" s="19" t="s">
        <v>33</v>
      </c>
      <c r="U276" s="19" t="s">
        <v>33</v>
      </c>
      <c r="V276" s="23">
        <v>9738.0</v>
      </c>
      <c r="W276" s="23">
        <v>11490.84</v>
      </c>
      <c r="X276" s="19">
        <v>11490.0</v>
      </c>
      <c r="Y276" s="19">
        <v>11420.0</v>
      </c>
      <c r="Z276" s="14">
        <f t="shared" si="1"/>
        <v>70.84</v>
      </c>
      <c r="AA276" s="15">
        <f t="shared" si="2"/>
        <v>-70</v>
      </c>
      <c r="AB276" s="19" t="s">
        <v>39</v>
      </c>
      <c r="AC276" s="17" t="s">
        <v>1625</v>
      </c>
    </row>
    <row r="277">
      <c r="A277" s="17">
        <v>275.0</v>
      </c>
      <c r="B277" s="19" t="s">
        <v>1592</v>
      </c>
      <c r="C277" s="17" t="s">
        <v>1626</v>
      </c>
      <c r="D277" s="17" t="s">
        <v>1627</v>
      </c>
      <c r="E277" s="19" t="s">
        <v>52</v>
      </c>
      <c r="F277" s="17" t="s">
        <v>1628</v>
      </c>
      <c r="G277" s="17" t="s">
        <v>1629</v>
      </c>
      <c r="H277" s="19" t="s">
        <v>1630</v>
      </c>
      <c r="I277" s="19" t="s">
        <v>1631</v>
      </c>
      <c r="J277" s="19" t="s">
        <v>33</v>
      </c>
      <c r="K277" s="19">
        <v>2960.0</v>
      </c>
      <c r="L277" s="19" t="s">
        <v>1465</v>
      </c>
      <c r="M277" s="19" t="s">
        <v>92</v>
      </c>
      <c r="N277" s="21" t="s">
        <v>58</v>
      </c>
      <c r="O277" s="19" t="s">
        <v>36</v>
      </c>
      <c r="P277" s="19" t="s">
        <v>60</v>
      </c>
      <c r="Q277" s="18" t="s">
        <v>38</v>
      </c>
      <c r="R277" s="19" t="s">
        <v>1632</v>
      </c>
      <c r="S277" s="22">
        <v>45452.0</v>
      </c>
      <c r="T277" s="19" t="s">
        <v>33</v>
      </c>
      <c r="U277" s="19" t="s">
        <v>33</v>
      </c>
      <c r="V277" s="23">
        <v>18176.0</v>
      </c>
      <c r="W277" s="23">
        <v>19361.0</v>
      </c>
      <c r="X277" s="19">
        <v>13753.0</v>
      </c>
      <c r="Y277" s="19">
        <v>15000.0</v>
      </c>
      <c r="Z277" s="14">
        <f t="shared" si="1"/>
        <v>4361</v>
      </c>
      <c r="AA277" s="15">
        <f t="shared" si="2"/>
        <v>1247</v>
      </c>
      <c r="AB277" s="19" t="s">
        <v>39</v>
      </c>
      <c r="AC277" s="17" t="s">
        <v>1633</v>
      </c>
    </row>
    <row r="278">
      <c r="A278" s="17">
        <v>276.0</v>
      </c>
      <c r="B278" s="19" t="s">
        <v>1592</v>
      </c>
      <c r="C278" s="17" t="s">
        <v>1634</v>
      </c>
      <c r="D278" s="17" t="s">
        <v>1635</v>
      </c>
      <c r="E278" s="19" t="s">
        <v>102</v>
      </c>
      <c r="F278" s="17" t="s">
        <v>1636</v>
      </c>
      <c r="G278" s="17" t="s">
        <v>1637</v>
      </c>
      <c r="H278" s="19">
        <v>9.924771754E9</v>
      </c>
      <c r="I278" s="19">
        <v>9.17372289E9</v>
      </c>
      <c r="J278" s="19" t="s">
        <v>105</v>
      </c>
      <c r="K278" s="19">
        <v>610.0</v>
      </c>
      <c r="L278" s="19" t="s">
        <v>447</v>
      </c>
      <c r="M278" s="19" t="s">
        <v>107</v>
      </c>
      <c r="N278" s="21" t="s">
        <v>58</v>
      </c>
      <c r="O278" s="19" t="s">
        <v>66</v>
      </c>
      <c r="P278" s="19" t="s">
        <v>60</v>
      </c>
      <c r="Q278" s="18" t="s">
        <v>38</v>
      </c>
      <c r="R278" s="19" t="s">
        <v>1638</v>
      </c>
      <c r="S278" s="19" t="s">
        <v>1639</v>
      </c>
      <c r="T278" s="19" t="s">
        <v>1543</v>
      </c>
      <c r="U278" s="19" t="s">
        <v>33</v>
      </c>
      <c r="V278" s="23">
        <v>6441.0</v>
      </c>
      <c r="W278" s="23">
        <v>7601.0</v>
      </c>
      <c r="X278" s="19">
        <v>6500.0</v>
      </c>
      <c r="Y278" s="19">
        <v>6500.0</v>
      </c>
      <c r="Z278" s="14">
        <f t="shared" si="1"/>
        <v>1101</v>
      </c>
      <c r="AA278" s="15">
        <f t="shared" si="2"/>
        <v>0</v>
      </c>
      <c r="AB278" s="19" t="s">
        <v>39</v>
      </c>
      <c r="AC278" s="17" t="s">
        <v>1640</v>
      </c>
    </row>
    <row r="279">
      <c r="A279" s="17">
        <v>277.0</v>
      </c>
      <c r="B279" s="19" t="s">
        <v>1592</v>
      </c>
      <c r="C279" s="17" t="s">
        <v>1641</v>
      </c>
      <c r="D279" s="17" t="s">
        <v>1642</v>
      </c>
      <c r="E279" s="19" t="s">
        <v>102</v>
      </c>
      <c r="F279" s="17" t="s">
        <v>111</v>
      </c>
      <c r="G279" s="17" t="s">
        <v>1643</v>
      </c>
      <c r="H279" s="19">
        <v>9.712665965E9</v>
      </c>
      <c r="I279" s="19">
        <v>8.511289711E9</v>
      </c>
      <c r="J279" s="19" t="s">
        <v>33</v>
      </c>
      <c r="K279" s="19">
        <v>236.0</v>
      </c>
      <c r="L279" s="19" t="s">
        <v>1403</v>
      </c>
      <c r="M279" s="19" t="s">
        <v>107</v>
      </c>
      <c r="N279" s="21" t="s">
        <v>58</v>
      </c>
      <c r="O279" s="19" t="s">
        <v>431</v>
      </c>
      <c r="P279" s="19" t="s">
        <v>60</v>
      </c>
      <c r="Q279" s="18" t="s">
        <v>38</v>
      </c>
      <c r="R279" s="19" t="s">
        <v>294</v>
      </c>
      <c r="S279" s="19" t="s">
        <v>611</v>
      </c>
      <c r="T279" s="19" t="s">
        <v>406</v>
      </c>
      <c r="U279" s="19" t="s">
        <v>33</v>
      </c>
      <c r="V279" s="23">
        <v>6690.0</v>
      </c>
      <c r="W279" s="23">
        <v>7894.0</v>
      </c>
      <c r="X279" s="19">
        <v>6500.0</v>
      </c>
      <c r="Y279" s="19">
        <v>6500.0</v>
      </c>
      <c r="Z279" s="14">
        <f t="shared" si="1"/>
        <v>1394</v>
      </c>
      <c r="AA279" s="15">
        <f t="shared" si="2"/>
        <v>0</v>
      </c>
      <c r="AB279" s="19" t="s">
        <v>39</v>
      </c>
      <c r="AC279" s="17" t="s">
        <v>1644</v>
      </c>
    </row>
    <row r="280">
      <c r="A280" s="17">
        <v>278.0</v>
      </c>
      <c r="B280" s="19" t="s">
        <v>1592</v>
      </c>
      <c r="C280" s="17" t="s">
        <v>1645</v>
      </c>
      <c r="D280" s="17" t="s">
        <v>1646</v>
      </c>
      <c r="E280" s="19" t="s">
        <v>102</v>
      </c>
      <c r="F280" s="17" t="s">
        <v>1647</v>
      </c>
      <c r="G280" s="17" t="s">
        <v>1648</v>
      </c>
      <c r="H280" s="19" t="s">
        <v>1649</v>
      </c>
      <c r="I280" s="19">
        <v>9.714438505E9</v>
      </c>
      <c r="J280" s="19" t="s">
        <v>105</v>
      </c>
      <c r="K280" s="19">
        <v>236.0</v>
      </c>
      <c r="L280" s="19" t="s">
        <v>1310</v>
      </c>
      <c r="M280" s="19" t="s">
        <v>107</v>
      </c>
      <c r="N280" s="21" t="s">
        <v>58</v>
      </c>
      <c r="O280" s="19" t="s">
        <v>209</v>
      </c>
      <c r="P280" s="19" t="s">
        <v>60</v>
      </c>
      <c r="Q280" s="18" t="s">
        <v>38</v>
      </c>
      <c r="R280" s="19" t="s">
        <v>1033</v>
      </c>
      <c r="S280" s="22">
        <v>46692.0</v>
      </c>
      <c r="T280" s="19" t="s">
        <v>1021</v>
      </c>
      <c r="U280" s="19" t="s">
        <v>33</v>
      </c>
      <c r="V280" s="23">
        <v>6874.0</v>
      </c>
      <c r="W280" s="23">
        <v>8112.0</v>
      </c>
      <c r="X280" s="19">
        <v>6500.0</v>
      </c>
      <c r="Y280" s="19">
        <v>6500.0</v>
      </c>
      <c r="Z280" s="14">
        <f t="shared" si="1"/>
        <v>1612</v>
      </c>
      <c r="AA280" s="15">
        <f t="shared" si="2"/>
        <v>0</v>
      </c>
      <c r="AB280" s="19" t="s">
        <v>39</v>
      </c>
      <c r="AC280" s="17" t="s">
        <v>1650</v>
      </c>
    </row>
    <row r="281">
      <c r="A281" s="17">
        <v>279.0</v>
      </c>
      <c r="B281" s="19" t="s">
        <v>1592</v>
      </c>
      <c r="C281" s="17" t="s">
        <v>1651</v>
      </c>
      <c r="D281" s="17" t="s">
        <v>1652</v>
      </c>
      <c r="E281" s="19" t="s">
        <v>52</v>
      </c>
      <c r="F281" s="17" t="s">
        <v>826</v>
      </c>
      <c r="G281" s="17" t="s">
        <v>1653</v>
      </c>
      <c r="H281" s="19">
        <v>9.726498775E9</v>
      </c>
      <c r="I281" s="19">
        <v>9.726498776E9</v>
      </c>
      <c r="J281" s="19" t="s">
        <v>33</v>
      </c>
      <c r="K281" s="19">
        <v>2650.0</v>
      </c>
      <c r="L281" s="19" t="s">
        <v>1310</v>
      </c>
      <c r="M281" s="19" t="s">
        <v>57</v>
      </c>
      <c r="N281" s="21" t="s">
        <v>58</v>
      </c>
      <c r="O281" s="19" t="s">
        <v>439</v>
      </c>
      <c r="P281" s="19" t="s">
        <v>60</v>
      </c>
      <c r="Q281" s="18" t="s">
        <v>38</v>
      </c>
      <c r="R281" s="22">
        <v>45569.0</v>
      </c>
      <c r="S281" s="19" t="s">
        <v>978</v>
      </c>
      <c r="T281" s="19" t="s">
        <v>33</v>
      </c>
      <c r="U281" s="19" t="s">
        <v>33</v>
      </c>
      <c r="V281" s="23">
        <v>18550.0</v>
      </c>
      <c r="W281" s="23">
        <v>19792.0</v>
      </c>
      <c r="X281" s="19">
        <v>13187.0</v>
      </c>
      <c r="Y281" s="24">
        <v>13000.0</v>
      </c>
      <c r="Z281" s="14">
        <f t="shared" si="1"/>
        <v>6792</v>
      </c>
      <c r="AA281" s="15">
        <f t="shared" si="2"/>
        <v>-187</v>
      </c>
      <c r="AB281" s="19" t="s">
        <v>39</v>
      </c>
      <c r="AC281" s="17" t="s">
        <v>1654</v>
      </c>
    </row>
    <row r="282">
      <c r="A282" s="17">
        <v>280.0</v>
      </c>
      <c r="B282" s="19" t="s">
        <v>1592</v>
      </c>
      <c r="C282" s="17" t="s">
        <v>1655</v>
      </c>
      <c r="D282" s="17" t="s">
        <v>1656</v>
      </c>
      <c r="E282" s="19" t="s">
        <v>52</v>
      </c>
      <c r="F282" s="17" t="s">
        <v>216</v>
      </c>
      <c r="G282" s="17" t="s">
        <v>1657</v>
      </c>
      <c r="H282" s="19">
        <v>9.824811869E9</v>
      </c>
      <c r="I282" s="19"/>
      <c r="J282" s="19" t="s">
        <v>33</v>
      </c>
      <c r="K282" s="19">
        <v>3460.0</v>
      </c>
      <c r="L282" s="19" t="s">
        <v>1310</v>
      </c>
      <c r="M282" s="19" t="s">
        <v>57</v>
      </c>
      <c r="N282" s="21" t="s">
        <v>58</v>
      </c>
      <c r="O282" s="19" t="s">
        <v>153</v>
      </c>
      <c r="P282" s="19" t="s">
        <v>60</v>
      </c>
      <c r="Q282" s="18" t="s">
        <v>38</v>
      </c>
      <c r="R282" s="19" t="s">
        <v>1393</v>
      </c>
      <c r="S282" s="19" t="s">
        <v>95</v>
      </c>
      <c r="T282" s="19" t="s">
        <v>985</v>
      </c>
      <c r="U282" s="19" t="s">
        <v>33</v>
      </c>
      <c r="V282" s="23">
        <v>20936.0</v>
      </c>
      <c r="W282" s="23">
        <v>22607.0</v>
      </c>
      <c r="X282" s="19">
        <v>15000.0</v>
      </c>
      <c r="Y282" s="19">
        <v>14000.0</v>
      </c>
      <c r="Z282" s="14">
        <f t="shared" si="1"/>
        <v>8607</v>
      </c>
      <c r="AA282" s="15">
        <f t="shared" si="2"/>
        <v>-1000</v>
      </c>
      <c r="AB282" s="19" t="s">
        <v>39</v>
      </c>
      <c r="AC282" s="17" t="s">
        <v>1658</v>
      </c>
    </row>
    <row r="283">
      <c r="A283" s="17">
        <v>281.0</v>
      </c>
      <c r="B283" s="19" t="s">
        <v>1592</v>
      </c>
      <c r="C283" s="17" t="s">
        <v>1659</v>
      </c>
      <c r="D283" s="17" t="s">
        <v>1660</v>
      </c>
      <c r="E283" s="19" t="s">
        <v>52</v>
      </c>
      <c r="F283" s="17" t="s">
        <v>850</v>
      </c>
      <c r="G283" s="17" t="s">
        <v>1661</v>
      </c>
      <c r="H283" s="19">
        <v>9.638266257E9</v>
      </c>
      <c r="I283" s="19">
        <v>7.043504221E9</v>
      </c>
      <c r="J283" s="19" t="s">
        <v>33</v>
      </c>
      <c r="K283" s="19">
        <v>2735.0</v>
      </c>
      <c r="L283" s="19" t="s">
        <v>1465</v>
      </c>
      <c r="M283" s="19" t="s">
        <v>57</v>
      </c>
      <c r="N283" s="21" t="s">
        <v>58</v>
      </c>
      <c r="O283" s="19" t="s">
        <v>129</v>
      </c>
      <c r="P283" s="19" t="s">
        <v>60</v>
      </c>
      <c r="Q283" s="18" t="s">
        <v>38</v>
      </c>
      <c r="R283" s="19" t="s">
        <v>503</v>
      </c>
      <c r="S283" s="19" t="s">
        <v>653</v>
      </c>
      <c r="T283" s="19" t="s">
        <v>33</v>
      </c>
      <c r="U283" s="19" t="s">
        <v>33</v>
      </c>
      <c r="V283" s="23">
        <v>22248.0</v>
      </c>
      <c r="W283" s="23">
        <v>24154.0</v>
      </c>
      <c r="X283" s="19">
        <v>15525.0</v>
      </c>
      <c r="Y283" s="19">
        <v>15000.0</v>
      </c>
      <c r="Z283" s="14">
        <f t="shared" si="1"/>
        <v>9154</v>
      </c>
      <c r="AA283" s="15">
        <f t="shared" si="2"/>
        <v>-525</v>
      </c>
      <c r="AB283" s="19" t="s">
        <v>39</v>
      </c>
      <c r="AC283" s="17" t="s">
        <v>1662</v>
      </c>
    </row>
    <row r="284">
      <c r="A284" s="17">
        <v>282.0</v>
      </c>
      <c r="B284" s="19" t="s">
        <v>1592</v>
      </c>
      <c r="C284" s="17" t="s">
        <v>1663</v>
      </c>
      <c r="D284" s="17" t="s">
        <v>1664</v>
      </c>
      <c r="E284" s="19" t="s">
        <v>75</v>
      </c>
      <c r="F284" s="17" t="s">
        <v>1665</v>
      </c>
      <c r="G284" s="17" t="s">
        <v>1666</v>
      </c>
      <c r="H284" s="19" t="s">
        <v>1667</v>
      </c>
      <c r="I284" s="19"/>
      <c r="J284" s="19" t="s">
        <v>1668</v>
      </c>
      <c r="K284" s="19">
        <v>97.0</v>
      </c>
      <c r="L284" s="19" t="s">
        <v>1403</v>
      </c>
      <c r="M284" s="19" t="s">
        <v>652</v>
      </c>
      <c r="N284" s="21" t="s">
        <v>46</v>
      </c>
      <c r="O284" s="19" t="s">
        <v>36</v>
      </c>
      <c r="P284" s="19" t="s">
        <v>1492</v>
      </c>
      <c r="Q284" s="18" t="s">
        <v>38</v>
      </c>
      <c r="R284" s="22">
        <v>45546.0</v>
      </c>
      <c r="S284" s="22">
        <v>46271.0</v>
      </c>
      <c r="T284" s="19" t="s">
        <v>33</v>
      </c>
      <c r="U284" s="19" t="s">
        <v>33</v>
      </c>
      <c r="V284" s="23">
        <v>714.0</v>
      </c>
      <c r="W284" s="23">
        <v>843.0</v>
      </c>
      <c r="X284" s="19">
        <v>850.0</v>
      </c>
      <c r="Y284" s="19">
        <v>850.0</v>
      </c>
      <c r="Z284" s="14">
        <f t="shared" si="1"/>
        <v>-7</v>
      </c>
      <c r="AA284" s="15">
        <f t="shared" si="2"/>
        <v>0</v>
      </c>
      <c r="AB284" s="19" t="s">
        <v>39</v>
      </c>
      <c r="AC284" s="17" t="s">
        <v>1669</v>
      </c>
    </row>
    <row r="285">
      <c r="A285" s="17">
        <v>283.0</v>
      </c>
      <c r="B285" s="19" t="s">
        <v>1592</v>
      </c>
      <c r="C285" s="17" t="s">
        <v>1670</v>
      </c>
      <c r="D285" s="17" t="s">
        <v>1671</v>
      </c>
      <c r="E285" s="19" t="s">
        <v>75</v>
      </c>
      <c r="F285" s="17" t="s">
        <v>1672</v>
      </c>
      <c r="G285" s="17" t="s">
        <v>1673</v>
      </c>
      <c r="H285" s="19">
        <v>9.998996668E9</v>
      </c>
      <c r="I285" s="19"/>
      <c r="J285" s="19" t="s">
        <v>33</v>
      </c>
      <c r="K285" s="19">
        <v>346.0</v>
      </c>
      <c r="L285" s="19" t="s">
        <v>1310</v>
      </c>
      <c r="M285" s="19" t="s">
        <v>224</v>
      </c>
      <c r="N285" s="21" t="s">
        <v>46</v>
      </c>
      <c r="O285" s="19" t="s">
        <v>36</v>
      </c>
      <c r="P285" s="19" t="s">
        <v>1492</v>
      </c>
      <c r="Q285" s="18" t="s">
        <v>38</v>
      </c>
      <c r="R285" s="19" t="s">
        <v>1674</v>
      </c>
      <c r="S285" s="19" t="s">
        <v>1675</v>
      </c>
      <c r="T285" s="19" t="s">
        <v>33</v>
      </c>
      <c r="U285" s="19" t="s">
        <v>33</v>
      </c>
      <c r="V285" s="23">
        <v>1366.0</v>
      </c>
      <c r="W285" s="23">
        <v>1612.0</v>
      </c>
      <c r="X285" s="19">
        <v>1600.0</v>
      </c>
      <c r="Y285" s="19">
        <v>1600.0</v>
      </c>
      <c r="Z285" s="14">
        <f t="shared" si="1"/>
        <v>12</v>
      </c>
      <c r="AA285" s="15">
        <f t="shared" si="2"/>
        <v>0</v>
      </c>
      <c r="AB285" s="19" t="s">
        <v>39</v>
      </c>
      <c r="AC285" s="17" t="s">
        <v>1676</v>
      </c>
    </row>
    <row r="286">
      <c r="A286" s="17">
        <v>284.0</v>
      </c>
      <c r="B286" s="19" t="s">
        <v>1592</v>
      </c>
      <c r="C286" s="17" t="s">
        <v>1677</v>
      </c>
      <c r="D286" s="17" t="s">
        <v>1678</v>
      </c>
      <c r="E286" s="19" t="s">
        <v>88</v>
      </c>
      <c r="F286" s="17" t="s">
        <v>1679</v>
      </c>
      <c r="G286" s="17" t="s">
        <v>1680</v>
      </c>
      <c r="H286" s="19">
        <v>7.990422516E9</v>
      </c>
      <c r="I286" s="19"/>
      <c r="J286" s="19" t="s">
        <v>33</v>
      </c>
      <c r="K286" s="19">
        <v>12976.0</v>
      </c>
      <c r="L286" s="20">
        <v>46388.0</v>
      </c>
      <c r="M286" s="19" t="s">
        <v>807</v>
      </c>
      <c r="N286" s="21" t="s">
        <v>58</v>
      </c>
      <c r="O286" s="19" t="s">
        <v>36</v>
      </c>
      <c r="P286" s="19" t="s">
        <v>60</v>
      </c>
      <c r="Q286" s="18" t="s">
        <v>38</v>
      </c>
      <c r="R286" s="22">
        <v>45910.0</v>
      </c>
      <c r="S286" s="22">
        <v>46207.0</v>
      </c>
      <c r="T286" s="22">
        <v>46178.0</v>
      </c>
      <c r="U286" s="19" t="s">
        <v>33</v>
      </c>
      <c r="V286" s="23">
        <v>37234.0</v>
      </c>
      <c r="W286" s="23">
        <v>39345.0</v>
      </c>
      <c r="X286" s="19">
        <v>16000.0</v>
      </c>
      <c r="Y286" s="19">
        <v>16000.0</v>
      </c>
      <c r="Z286" s="14">
        <f t="shared" si="1"/>
        <v>23345</v>
      </c>
      <c r="AA286" s="15">
        <f t="shared" si="2"/>
        <v>0</v>
      </c>
      <c r="AB286" s="19" t="s">
        <v>39</v>
      </c>
      <c r="AC286" s="17" t="s">
        <v>1681</v>
      </c>
    </row>
    <row r="287">
      <c r="A287" s="17">
        <v>285.0</v>
      </c>
      <c r="B287" s="19" t="s">
        <v>1592</v>
      </c>
      <c r="C287" s="17" t="s">
        <v>1682</v>
      </c>
      <c r="D287" s="17" t="s">
        <v>1683</v>
      </c>
      <c r="E287" s="19" t="s">
        <v>52</v>
      </c>
      <c r="F287" s="17" t="s">
        <v>1684</v>
      </c>
      <c r="G287" s="17" t="s">
        <v>1685</v>
      </c>
      <c r="H287" s="19">
        <v>9.824619036E9</v>
      </c>
      <c r="I287" s="19">
        <v>8.469330839E9</v>
      </c>
      <c r="J287" s="19" t="s">
        <v>33</v>
      </c>
      <c r="K287" s="19">
        <v>3895.0</v>
      </c>
      <c r="L287" s="19" t="s">
        <v>1310</v>
      </c>
      <c r="M287" s="19" t="s">
        <v>92</v>
      </c>
      <c r="N287" s="21" t="s">
        <v>58</v>
      </c>
      <c r="O287" s="19" t="s">
        <v>66</v>
      </c>
      <c r="P287" s="19" t="s">
        <v>79</v>
      </c>
      <c r="Q287" s="18" t="s">
        <v>38</v>
      </c>
      <c r="R287" s="19" t="s">
        <v>1686</v>
      </c>
      <c r="S287" s="19" t="s">
        <v>1687</v>
      </c>
      <c r="T287" s="19" t="s">
        <v>1688</v>
      </c>
      <c r="U287" s="19" t="s">
        <v>33</v>
      </c>
      <c r="V287" s="24">
        <v>23627.0</v>
      </c>
      <c r="W287" s="24">
        <v>25793.0</v>
      </c>
      <c r="X287" s="19">
        <v>21194.0</v>
      </c>
      <c r="Y287" s="19">
        <v>22000.0</v>
      </c>
      <c r="Z287" s="15">
        <f t="shared" si="1"/>
        <v>3793</v>
      </c>
      <c r="AA287" s="15">
        <f t="shared" si="2"/>
        <v>806</v>
      </c>
      <c r="AB287" s="19" t="s">
        <v>39</v>
      </c>
      <c r="AC287" s="17" t="s">
        <v>1689</v>
      </c>
    </row>
    <row r="288">
      <c r="A288" s="17">
        <v>286.0</v>
      </c>
      <c r="B288" s="19" t="s">
        <v>1592</v>
      </c>
      <c r="C288" s="17" t="s">
        <v>1690</v>
      </c>
      <c r="D288" s="18">
        <v>9.00928397E8</v>
      </c>
      <c r="E288" s="19" t="s">
        <v>30</v>
      </c>
      <c r="F288" s="17" t="s">
        <v>1691</v>
      </c>
      <c r="G288" s="17" t="s">
        <v>1692</v>
      </c>
      <c r="H288" s="19">
        <v>9.825234215E9</v>
      </c>
      <c r="I288" s="19">
        <v>9.510449637E9</v>
      </c>
      <c r="J288" s="19" t="s">
        <v>33</v>
      </c>
      <c r="K288" s="19">
        <v>1497.0</v>
      </c>
      <c r="L288" s="19" t="s">
        <v>1465</v>
      </c>
      <c r="M288" s="19" t="s">
        <v>34</v>
      </c>
      <c r="N288" s="21" t="s">
        <v>35</v>
      </c>
      <c r="O288" s="19" t="s">
        <v>66</v>
      </c>
      <c r="P288" s="19" t="s">
        <v>37</v>
      </c>
      <c r="Q288" s="18" t="s">
        <v>38</v>
      </c>
      <c r="R288" s="19" t="s">
        <v>1693</v>
      </c>
      <c r="S288" s="19" t="s">
        <v>1218</v>
      </c>
      <c r="T288" s="19" t="s">
        <v>33</v>
      </c>
      <c r="U288" s="19" t="s">
        <v>33</v>
      </c>
      <c r="V288" s="23">
        <v>9648.12</v>
      </c>
      <c r="W288" s="23">
        <v>11385.0</v>
      </c>
      <c r="X288" s="19">
        <v>11243.0</v>
      </c>
      <c r="Y288" s="24">
        <v>11200.0</v>
      </c>
      <c r="Z288" s="14">
        <f t="shared" si="1"/>
        <v>185</v>
      </c>
      <c r="AA288" s="15">
        <f t="shared" si="2"/>
        <v>-43</v>
      </c>
      <c r="AB288" s="19" t="s">
        <v>39</v>
      </c>
      <c r="AC288" s="17" t="s">
        <v>1694</v>
      </c>
    </row>
    <row r="289">
      <c r="A289" s="17">
        <v>287.0</v>
      </c>
      <c r="B289" s="19" t="s">
        <v>1592</v>
      </c>
      <c r="C289" s="17" t="s">
        <v>1695</v>
      </c>
      <c r="D289" s="17" t="s">
        <v>1696</v>
      </c>
      <c r="E289" s="19" t="s">
        <v>167</v>
      </c>
      <c r="F289" s="17" t="s">
        <v>264</v>
      </c>
      <c r="G289" s="17" t="s">
        <v>1697</v>
      </c>
      <c r="H289" s="19">
        <v>9.925288627E9</v>
      </c>
      <c r="I289" s="19">
        <v>9.601910575E9</v>
      </c>
      <c r="J289" s="19" t="s">
        <v>105</v>
      </c>
      <c r="K289" s="19">
        <v>995.0</v>
      </c>
      <c r="L289" s="19" t="s">
        <v>1465</v>
      </c>
      <c r="M289" s="19" t="s">
        <v>152</v>
      </c>
      <c r="N289" s="21" t="s">
        <v>58</v>
      </c>
      <c r="O289" s="19" t="s">
        <v>153</v>
      </c>
      <c r="P289" s="19" t="s">
        <v>60</v>
      </c>
      <c r="Q289" s="18" t="s">
        <v>38</v>
      </c>
      <c r="R289" s="19" t="s">
        <v>1698</v>
      </c>
      <c r="S289" s="19" t="s">
        <v>832</v>
      </c>
      <c r="T289" s="19" t="s">
        <v>33</v>
      </c>
      <c r="U289" s="19" t="s">
        <v>33</v>
      </c>
      <c r="V289" s="23">
        <v>5144.83</v>
      </c>
      <c r="W289" s="23">
        <v>5487.0</v>
      </c>
      <c r="X289" s="19">
        <v>5000.0</v>
      </c>
      <c r="Y289" s="19">
        <v>5000.0</v>
      </c>
      <c r="Z289" s="14">
        <f t="shared" si="1"/>
        <v>487</v>
      </c>
      <c r="AA289" s="15">
        <f t="shared" si="2"/>
        <v>0</v>
      </c>
      <c r="AB289" s="19" t="s">
        <v>39</v>
      </c>
      <c r="AC289" s="17" t="s">
        <v>1699</v>
      </c>
    </row>
    <row r="290">
      <c r="A290" s="17">
        <v>288.0</v>
      </c>
      <c r="B290" s="19" t="s">
        <v>1592</v>
      </c>
      <c r="C290" s="17" t="s">
        <v>1700</v>
      </c>
      <c r="D290" s="17" t="s">
        <v>1701</v>
      </c>
      <c r="E290" s="19" t="s">
        <v>52</v>
      </c>
      <c r="F290" s="17" t="s">
        <v>1702</v>
      </c>
      <c r="G290" s="17" t="s">
        <v>1703</v>
      </c>
      <c r="H290" s="19" t="s">
        <v>1704</v>
      </c>
      <c r="I290" s="19">
        <v>7.575811774E9</v>
      </c>
      <c r="J290" s="19" t="s">
        <v>105</v>
      </c>
      <c r="K290" s="19">
        <v>1870.0</v>
      </c>
      <c r="L290" s="19" t="s">
        <v>1465</v>
      </c>
      <c r="M290" s="19" t="s">
        <v>152</v>
      </c>
      <c r="N290" s="21" t="s">
        <v>58</v>
      </c>
      <c r="O290" s="19" t="s">
        <v>119</v>
      </c>
      <c r="P290" s="19" t="s">
        <v>60</v>
      </c>
      <c r="Q290" s="18" t="s">
        <v>38</v>
      </c>
      <c r="R290" s="19" t="s">
        <v>1705</v>
      </c>
      <c r="S290" s="19" t="s">
        <v>1200</v>
      </c>
      <c r="T290" s="19" t="s">
        <v>33</v>
      </c>
      <c r="U290" s="19" t="s">
        <v>33</v>
      </c>
      <c r="V290" s="23">
        <v>16931.99</v>
      </c>
      <c r="W290" s="23">
        <v>17893.0</v>
      </c>
      <c r="X290" s="19">
        <v>12800.0</v>
      </c>
      <c r="Y290" s="19">
        <v>13000.0</v>
      </c>
      <c r="Z290" s="14">
        <f t="shared" si="1"/>
        <v>4893</v>
      </c>
      <c r="AA290" s="15">
        <f t="shared" si="2"/>
        <v>200</v>
      </c>
      <c r="AB290" s="19" t="s">
        <v>39</v>
      </c>
      <c r="AC290" s="17" t="s">
        <v>1706</v>
      </c>
    </row>
    <row r="291">
      <c r="A291" s="17">
        <v>289.0</v>
      </c>
      <c r="B291" s="19" t="s">
        <v>1592</v>
      </c>
      <c r="C291" s="17" t="s">
        <v>1707</v>
      </c>
      <c r="D291" s="17" t="s">
        <v>1708</v>
      </c>
      <c r="E291" s="19" t="s">
        <v>75</v>
      </c>
      <c r="F291" s="17" t="s">
        <v>1709</v>
      </c>
      <c r="G291" s="17" t="s">
        <v>1710</v>
      </c>
      <c r="H291" s="19">
        <v>9.82465555E9</v>
      </c>
      <c r="I291" s="19"/>
      <c r="J291" s="19" t="s">
        <v>618</v>
      </c>
      <c r="K291" s="19">
        <v>109.0</v>
      </c>
      <c r="L291" s="19" t="s">
        <v>1465</v>
      </c>
      <c r="M291" s="19" t="s">
        <v>574</v>
      </c>
      <c r="N291" s="21" t="s">
        <v>46</v>
      </c>
      <c r="O291" s="19" t="s">
        <v>36</v>
      </c>
      <c r="P291" s="19" t="s">
        <v>1492</v>
      </c>
      <c r="Q291" s="18" t="s">
        <v>38</v>
      </c>
      <c r="R291" s="19" t="s">
        <v>1711</v>
      </c>
      <c r="S291" s="19" t="s">
        <v>1576</v>
      </c>
      <c r="T291" s="19" t="s">
        <v>33</v>
      </c>
      <c r="U291" s="19" t="s">
        <v>33</v>
      </c>
      <c r="V291" s="23">
        <v>714.0</v>
      </c>
      <c r="W291" s="23">
        <v>842.0</v>
      </c>
      <c r="X291" s="19">
        <v>850.0</v>
      </c>
      <c r="Y291" s="19">
        <v>850.0</v>
      </c>
      <c r="Z291" s="14">
        <f t="shared" si="1"/>
        <v>-8</v>
      </c>
      <c r="AA291" s="15">
        <f t="shared" si="2"/>
        <v>0</v>
      </c>
      <c r="AB291" s="19" t="s">
        <v>39</v>
      </c>
      <c r="AC291" s="17" t="s">
        <v>1712</v>
      </c>
    </row>
    <row r="292">
      <c r="A292" s="17">
        <v>290.0</v>
      </c>
      <c r="B292" s="19" t="s">
        <v>1713</v>
      </c>
      <c r="C292" s="17" t="s">
        <v>1714</v>
      </c>
      <c r="D292" s="17" t="s">
        <v>1715</v>
      </c>
      <c r="E292" s="19" t="s">
        <v>75</v>
      </c>
      <c r="F292" s="17" t="s">
        <v>1716</v>
      </c>
      <c r="G292" s="17" t="s">
        <v>1717</v>
      </c>
      <c r="H292" s="19">
        <v>9.712424179E9</v>
      </c>
      <c r="I292" s="19">
        <v>9.624649587E9</v>
      </c>
      <c r="J292" s="19" t="s">
        <v>618</v>
      </c>
      <c r="K292" s="19">
        <v>125.0</v>
      </c>
      <c r="L292" s="19" t="s">
        <v>1072</v>
      </c>
      <c r="M292" s="19" t="s">
        <v>78</v>
      </c>
      <c r="N292" s="21" t="s">
        <v>46</v>
      </c>
      <c r="O292" s="19" t="s">
        <v>36</v>
      </c>
      <c r="P292" s="19" t="s">
        <v>1492</v>
      </c>
      <c r="Q292" s="18" t="s">
        <v>38</v>
      </c>
      <c r="R292" s="22">
        <v>48398.0</v>
      </c>
      <c r="S292" s="25">
        <v>44174.0</v>
      </c>
      <c r="T292" s="19" t="s">
        <v>33</v>
      </c>
      <c r="U292" s="19" t="s">
        <v>33</v>
      </c>
      <c r="V292" s="19">
        <v>714.0</v>
      </c>
      <c r="W292" s="19">
        <v>843.0</v>
      </c>
      <c r="X292" s="19">
        <v>850.0</v>
      </c>
      <c r="Y292" s="24">
        <v>850.0</v>
      </c>
      <c r="Z292" s="15">
        <f t="shared" si="1"/>
        <v>-7</v>
      </c>
      <c r="AA292" s="15">
        <f t="shared" si="2"/>
        <v>0</v>
      </c>
      <c r="AB292" s="19" t="s">
        <v>39</v>
      </c>
      <c r="AC292" s="17" t="s">
        <v>1718</v>
      </c>
    </row>
    <row r="293">
      <c r="A293" s="17">
        <v>291.0</v>
      </c>
      <c r="B293" s="19" t="s">
        <v>1713</v>
      </c>
      <c r="C293" s="17" t="s">
        <v>1719</v>
      </c>
      <c r="D293" s="17" t="s">
        <v>1720</v>
      </c>
      <c r="E293" s="19" t="s">
        <v>30</v>
      </c>
      <c r="F293" s="17" t="s">
        <v>1721</v>
      </c>
      <c r="G293" s="17" t="s">
        <v>1722</v>
      </c>
      <c r="H293" s="19">
        <v>9.033333157E9</v>
      </c>
      <c r="I293" s="19">
        <v>6.351000398E9</v>
      </c>
      <c r="J293" s="19" t="s">
        <v>33</v>
      </c>
      <c r="K293" s="19">
        <v>2184.0</v>
      </c>
      <c r="L293" s="19" t="s">
        <v>1465</v>
      </c>
      <c r="M293" s="19" t="s">
        <v>92</v>
      </c>
      <c r="N293" s="21" t="s">
        <v>35</v>
      </c>
      <c r="O293" s="19" t="s">
        <v>36</v>
      </c>
      <c r="P293" s="19" t="s">
        <v>37</v>
      </c>
      <c r="Q293" s="18" t="s">
        <v>38</v>
      </c>
      <c r="R293" s="22">
        <v>50953.0</v>
      </c>
      <c r="S293" s="19" t="s">
        <v>1723</v>
      </c>
      <c r="T293" s="19" t="s">
        <v>33</v>
      </c>
      <c r="U293" s="19" t="s">
        <v>33</v>
      </c>
      <c r="V293" s="23">
        <v>17004.0</v>
      </c>
      <c r="W293" s="23">
        <v>20065.0</v>
      </c>
      <c r="X293" s="19">
        <v>20067.0</v>
      </c>
      <c r="Y293" s="19">
        <v>20067.0</v>
      </c>
      <c r="Z293" s="14">
        <f t="shared" si="1"/>
        <v>-2</v>
      </c>
      <c r="AA293" s="15">
        <f t="shared" si="2"/>
        <v>0</v>
      </c>
      <c r="AB293" s="19" t="s">
        <v>39</v>
      </c>
      <c r="AC293" s="17" t="s">
        <v>1724</v>
      </c>
    </row>
    <row r="294">
      <c r="A294" s="35">
        <v>292.0</v>
      </c>
      <c r="B294" s="37" t="s">
        <v>1713</v>
      </c>
      <c r="C294" s="35" t="s">
        <v>1725</v>
      </c>
      <c r="D294" s="35" t="s">
        <v>1726</v>
      </c>
      <c r="E294" s="37" t="s">
        <v>88</v>
      </c>
      <c r="F294" s="35" t="s">
        <v>1727</v>
      </c>
      <c r="G294" s="35" t="s">
        <v>1728</v>
      </c>
      <c r="H294" s="37">
        <v>9.879724797E9</v>
      </c>
      <c r="I294" s="37">
        <v>9.925112789E9</v>
      </c>
      <c r="J294" s="37" t="s">
        <v>33</v>
      </c>
      <c r="K294" s="37">
        <v>28000.0</v>
      </c>
      <c r="L294" s="37" t="s">
        <v>1403</v>
      </c>
      <c r="M294" s="37" t="s">
        <v>152</v>
      </c>
      <c r="N294" s="39" t="s">
        <v>58</v>
      </c>
      <c r="O294" s="37" t="s">
        <v>66</v>
      </c>
      <c r="P294" s="37" t="s">
        <v>79</v>
      </c>
      <c r="Q294" s="54" t="s">
        <v>38</v>
      </c>
      <c r="R294" s="37" t="s">
        <v>1139</v>
      </c>
      <c r="S294" s="43">
        <v>46083.0</v>
      </c>
      <c r="T294" s="37" t="s">
        <v>1729</v>
      </c>
      <c r="U294" s="37" t="s">
        <v>33</v>
      </c>
      <c r="V294" s="41">
        <v>46120.11</v>
      </c>
      <c r="W294" s="41">
        <v>48708.0</v>
      </c>
      <c r="X294" s="37">
        <v>39429.0</v>
      </c>
      <c r="Y294" s="37">
        <v>39500.0</v>
      </c>
      <c r="Z294" s="45">
        <f t="shared" si="1"/>
        <v>9208</v>
      </c>
      <c r="AA294" s="15">
        <f t="shared" si="2"/>
        <v>71</v>
      </c>
      <c r="AB294" s="37" t="s">
        <v>39</v>
      </c>
      <c r="AC294" s="35" t="s">
        <v>1730</v>
      </c>
    </row>
    <row r="295">
      <c r="A295" s="17">
        <v>293.0</v>
      </c>
      <c r="B295" s="19" t="s">
        <v>1713</v>
      </c>
      <c r="C295" s="17" t="s">
        <v>1731</v>
      </c>
      <c r="D295" s="17" t="s">
        <v>1732</v>
      </c>
      <c r="E295" s="19" t="s">
        <v>52</v>
      </c>
      <c r="F295" s="17" t="s">
        <v>1733</v>
      </c>
      <c r="G295" s="17" t="s">
        <v>1734</v>
      </c>
      <c r="H295" s="19">
        <v>8.32033693E9</v>
      </c>
      <c r="I295" s="19"/>
      <c r="J295" s="19" t="s">
        <v>33</v>
      </c>
      <c r="K295" s="19">
        <v>3490.0</v>
      </c>
      <c r="L295" s="19" t="s">
        <v>1465</v>
      </c>
      <c r="M295" s="19" t="s">
        <v>57</v>
      </c>
      <c r="N295" s="21" t="s">
        <v>58</v>
      </c>
      <c r="O295" s="19" t="s">
        <v>66</v>
      </c>
      <c r="P295" s="19" t="s">
        <v>79</v>
      </c>
      <c r="Q295" s="18" t="s">
        <v>38</v>
      </c>
      <c r="R295" s="19" t="s">
        <v>1735</v>
      </c>
      <c r="S295" s="22">
        <v>45877.0</v>
      </c>
      <c r="T295" s="19" t="s">
        <v>33</v>
      </c>
      <c r="U295" s="19" t="s">
        <v>33</v>
      </c>
      <c r="V295" s="23">
        <v>17664.0</v>
      </c>
      <c r="W295" s="23">
        <v>18746.0</v>
      </c>
      <c r="X295" s="19">
        <v>14005.0</v>
      </c>
      <c r="Y295" s="19">
        <v>14000.0</v>
      </c>
      <c r="Z295" s="14">
        <f t="shared" si="1"/>
        <v>4746</v>
      </c>
      <c r="AA295" s="15">
        <f t="shared" si="2"/>
        <v>-5</v>
      </c>
      <c r="AB295" s="19" t="s">
        <v>39</v>
      </c>
      <c r="AC295" s="17" t="s">
        <v>1736</v>
      </c>
    </row>
    <row r="296">
      <c r="A296" s="17">
        <v>294.0</v>
      </c>
      <c r="B296" s="19" t="s">
        <v>1713</v>
      </c>
      <c r="C296" s="17" t="s">
        <v>1737</v>
      </c>
      <c r="D296" s="17" t="s">
        <v>1738</v>
      </c>
      <c r="E296" s="19" t="s">
        <v>52</v>
      </c>
      <c r="F296" s="17" t="s">
        <v>1739</v>
      </c>
      <c r="G296" s="17" t="s">
        <v>1740</v>
      </c>
      <c r="H296" s="19">
        <v>9.825526009E9</v>
      </c>
      <c r="I296" s="19">
        <v>9.978626022E9</v>
      </c>
      <c r="J296" s="19" t="s">
        <v>33</v>
      </c>
      <c r="K296" s="19">
        <v>3490.0</v>
      </c>
      <c r="L296" s="19" t="s">
        <v>1612</v>
      </c>
      <c r="M296" s="19" t="s">
        <v>57</v>
      </c>
      <c r="N296" s="21" t="s">
        <v>58</v>
      </c>
      <c r="O296" s="19" t="s">
        <v>66</v>
      </c>
      <c r="P296" s="19" t="s">
        <v>79</v>
      </c>
      <c r="Q296" s="18" t="s">
        <v>38</v>
      </c>
      <c r="R296" s="19" t="s">
        <v>449</v>
      </c>
      <c r="S296" s="22">
        <v>46329.0</v>
      </c>
      <c r="T296" s="22">
        <v>47795.0</v>
      </c>
      <c r="U296" s="19" t="s">
        <v>33</v>
      </c>
      <c r="V296" s="23">
        <v>19655.0</v>
      </c>
      <c r="W296" s="23">
        <v>21095.0</v>
      </c>
      <c r="X296" s="19">
        <v>15734.0</v>
      </c>
      <c r="Y296" s="19">
        <v>15000.0</v>
      </c>
      <c r="Z296" s="14">
        <f t="shared" si="1"/>
        <v>6095</v>
      </c>
      <c r="AA296" s="15">
        <f t="shared" si="2"/>
        <v>-734</v>
      </c>
      <c r="AB296" s="19" t="s">
        <v>39</v>
      </c>
      <c r="AC296" s="17" t="s">
        <v>1741</v>
      </c>
    </row>
    <row r="297">
      <c r="A297" s="17">
        <v>295.0</v>
      </c>
      <c r="B297" s="19" t="s">
        <v>1713</v>
      </c>
      <c r="C297" s="17" t="s">
        <v>1742</v>
      </c>
      <c r="D297" s="17" t="s">
        <v>1743</v>
      </c>
      <c r="E297" s="19" t="s">
        <v>52</v>
      </c>
      <c r="F297" s="17" t="s">
        <v>1744</v>
      </c>
      <c r="G297" s="17" t="s">
        <v>1745</v>
      </c>
      <c r="H297" s="19">
        <v>6.35177057E9</v>
      </c>
      <c r="I297" s="19">
        <v>6.35622037E9</v>
      </c>
      <c r="J297" s="19" t="s">
        <v>105</v>
      </c>
      <c r="K297" s="19">
        <v>1950.0</v>
      </c>
      <c r="L297" s="19" t="s">
        <v>1403</v>
      </c>
      <c r="M297" s="19" t="s">
        <v>107</v>
      </c>
      <c r="N297" s="21" t="s">
        <v>58</v>
      </c>
      <c r="O297" s="19" t="s">
        <v>209</v>
      </c>
      <c r="P297" s="19" t="s">
        <v>60</v>
      </c>
      <c r="Q297" s="18" t="s">
        <v>38</v>
      </c>
      <c r="R297" s="19" t="s">
        <v>1168</v>
      </c>
      <c r="S297" s="22">
        <v>46210.0</v>
      </c>
      <c r="T297" s="19" t="s">
        <v>33</v>
      </c>
      <c r="U297" s="19" t="s">
        <v>33</v>
      </c>
      <c r="V297" s="23">
        <v>19671.0</v>
      </c>
      <c r="W297" s="23">
        <v>21125.0</v>
      </c>
      <c r="X297" s="19">
        <v>14216.0</v>
      </c>
      <c r="Y297" s="19">
        <v>14000.0</v>
      </c>
      <c r="Z297" s="14">
        <f t="shared" si="1"/>
        <v>7125</v>
      </c>
      <c r="AA297" s="15">
        <f t="shared" si="2"/>
        <v>-216</v>
      </c>
      <c r="AB297" s="19" t="s">
        <v>39</v>
      </c>
      <c r="AC297" s="17" t="s">
        <v>1746</v>
      </c>
    </row>
    <row r="298">
      <c r="A298" s="17">
        <v>296.0</v>
      </c>
      <c r="B298" s="19" t="s">
        <v>1713</v>
      </c>
      <c r="C298" s="17" t="s">
        <v>1747</v>
      </c>
      <c r="D298" s="17" t="s">
        <v>1748</v>
      </c>
      <c r="E298" s="19" t="s">
        <v>52</v>
      </c>
      <c r="F298" s="17" t="s">
        <v>1749</v>
      </c>
      <c r="G298" s="17" t="s">
        <v>1750</v>
      </c>
      <c r="H298" s="19">
        <v>9.978989707E9</v>
      </c>
      <c r="I298" s="19">
        <v>9.97889696E9</v>
      </c>
      <c r="J298" s="19" t="s">
        <v>33</v>
      </c>
      <c r="K298" s="19">
        <v>2550.0</v>
      </c>
      <c r="L298" s="19" t="s">
        <v>1505</v>
      </c>
      <c r="M298" s="19" t="s">
        <v>92</v>
      </c>
      <c r="N298" s="21" t="s">
        <v>58</v>
      </c>
      <c r="O298" s="19" t="s">
        <v>66</v>
      </c>
      <c r="P298" s="19" t="s">
        <v>60</v>
      </c>
      <c r="Q298" s="18" t="s">
        <v>38</v>
      </c>
      <c r="R298" s="19" t="s">
        <v>1751</v>
      </c>
      <c r="S298" s="19" t="s">
        <v>336</v>
      </c>
      <c r="T298" s="19" t="s">
        <v>33</v>
      </c>
      <c r="U298" s="19" t="s">
        <v>33</v>
      </c>
      <c r="V298" s="23">
        <v>20658.0</v>
      </c>
      <c r="W298" s="23">
        <v>22290.0</v>
      </c>
      <c r="X298" s="19">
        <v>15428.0</v>
      </c>
      <c r="Y298" s="19">
        <v>15500.0</v>
      </c>
      <c r="Z298" s="14">
        <f t="shared" si="1"/>
        <v>6790</v>
      </c>
      <c r="AA298" s="15">
        <f t="shared" si="2"/>
        <v>72</v>
      </c>
      <c r="AB298" s="19" t="s">
        <v>39</v>
      </c>
      <c r="AC298" s="17" t="s">
        <v>1752</v>
      </c>
    </row>
    <row r="299">
      <c r="A299" s="17">
        <v>297.0</v>
      </c>
      <c r="B299" s="19" t="s">
        <v>1713</v>
      </c>
      <c r="C299" s="17" t="s">
        <v>1753</v>
      </c>
      <c r="D299" s="17" t="s">
        <v>1754</v>
      </c>
      <c r="E299" s="19" t="s">
        <v>234</v>
      </c>
      <c r="F299" s="17" t="s">
        <v>1755</v>
      </c>
      <c r="G299" s="17" t="s">
        <v>1756</v>
      </c>
      <c r="H299" s="19">
        <v>9.978883488E9</v>
      </c>
      <c r="I299" s="19"/>
      <c r="J299" s="19" t="s">
        <v>33</v>
      </c>
      <c r="K299" s="19"/>
      <c r="L299" s="19" t="s">
        <v>1403</v>
      </c>
      <c r="M299" s="19" t="s">
        <v>92</v>
      </c>
      <c r="N299" s="21" t="s">
        <v>58</v>
      </c>
      <c r="O299" s="19" t="s">
        <v>66</v>
      </c>
      <c r="P299" s="19" t="s">
        <v>79</v>
      </c>
      <c r="Q299" s="18" t="s">
        <v>38</v>
      </c>
      <c r="R299" s="22">
        <v>46236.0</v>
      </c>
      <c r="S299" s="19" t="s">
        <v>1757</v>
      </c>
      <c r="T299" s="19" t="s">
        <v>33</v>
      </c>
      <c r="U299" s="19" t="s">
        <v>33</v>
      </c>
      <c r="V299" s="23">
        <v>15913.0</v>
      </c>
      <c r="W299" s="23">
        <v>18777.0</v>
      </c>
      <c r="X299" s="19">
        <v>18777.0</v>
      </c>
      <c r="Y299" s="19">
        <v>18777.0</v>
      </c>
      <c r="Z299" s="14">
        <f t="shared" si="1"/>
        <v>0</v>
      </c>
      <c r="AA299" s="15">
        <f t="shared" si="2"/>
        <v>0</v>
      </c>
      <c r="AB299" s="19" t="s">
        <v>39</v>
      </c>
      <c r="AC299" s="17" t="s">
        <v>1758</v>
      </c>
    </row>
    <row r="300">
      <c r="A300" s="17">
        <v>298.0</v>
      </c>
      <c r="B300" s="19" t="s">
        <v>1713</v>
      </c>
      <c r="C300" s="17" t="s">
        <v>1759</v>
      </c>
      <c r="D300" s="17" t="s">
        <v>1760</v>
      </c>
      <c r="E300" s="19" t="s">
        <v>52</v>
      </c>
      <c r="F300" s="17" t="s">
        <v>1761</v>
      </c>
      <c r="G300" s="17" t="s">
        <v>1762</v>
      </c>
      <c r="H300" s="19">
        <v>9.824100987E9</v>
      </c>
      <c r="I300" s="19"/>
      <c r="J300" s="19" t="s">
        <v>33</v>
      </c>
      <c r="K300" s="19">
        <v>1600.0</v>
      </c>
      <c r="L300" s="19" t="s">
        <v>1403</v>
      </c>
      <c r="M300" s="19" t="s">
        <v>189</v>
      </c>
      <c r="N300" s="21" t="s">
        <v>58</v>
      </c>
      <c r="O300" s="19" t="s">
        <v>198</v>
      </c>
      <c r="P300" s="19" t="s">
        <v>79</v>
      </c>
      <c r="Q300" s="18" t="s">
        <v>38</v>
      </c>
      <c r="R300" s="22">
        <v>46391.0</v>
      </c>
      <c r="S300" s="19" t="s">
        <v>1763</v>
      </c>
      <c r="T300" s="19" t="s">
        <v>33</v>
      </c>
      <c r="U300" s="19" t="s">
        <v>33</v>
      </c>
      <c r="V300" s="23">
        <v>18110.0</v>
      </c>
      <c r="W300" s="23">
        <v>19283.0</v>
      </c>
      <c r="X300" s="19">
        <v>12512.0</v>
      </c>
      <c r="Y300" s="19">
        <v>13000.0</v>
      </c>
      <c r="Z300" s="14">
        <f t="shared" si="1"/>
        <v>6283</v>
      </c>
      <c r="AA300" s="15">
        <f t="shared" si="2"/>
        <v>488</v>
      </c>
      <c r="AB300" s="19" t="s">
        <v>39</v>
      </c>
      <c r="AC300" s="17" t="s">
        <v>1764</v>
      </c>
    </row>
    <row r="301">
      <c r="A301" s="17">
        <v>299.0</v>
      </c>
      <c r="B301" s="19" t="s">
        <v>1713</v>
      </c>
      <c r="C301" s="17" t="s">
        <v>1765</v>
      </c>
      <c r="D301" s="18">
        <v>2.0260052478E14</v>
      </c>
      <c r="E301" s="19" t="s">
        <v>88</v>
      </c>
      <c r="F301" s="17" t="s">
        <v>1766</v>
      </c>
      <c r="G301" s="17" t="s">
        <v>1767</v>
      </c>
      <c r="H301" s="19">
        <v>9.974110744E9</v>
      </c>
      <c r="I301" s="19">
        <v>9.726139261E9</v>
      </c>
      <c r="J301" s="19" t="s">
        <v>33</v>
      </c>
      <c r="K301" s="19">
        <v>16020.0</v>
      </c>
      <c r="L301" s="19" t="s">
        <v>447</v>
      </c>
      <c r="M301" s="19" t="s">
        <v>152</v>
      </c>
      <c r="N301" s="21" t="s">
        <v>58</v>
      </c>
      <c r="O301" s="19" t="s">
        <v>66</v>
      </c>
      <c r="P301" s="19" t="s">
        <v>60</v>
      </c>
      <c r="Q301" s="18" t="s">
        <v>38</v>
      </c>
      <c r="R301" s="22">
        <v>46509.0</v>
      </c>
      <c r="S301" s="22">
        <v>46144.0</v>
      </c>
      <c r="T301" s="22">
        <v>46906.0</v>
      </c>
      <c r="U301" s="19" t="s">
        <v>33</v>
      </c>
      <c r="V301" s="23">
        <v>54036.74</v>
      </c>
      <c r="W301" s="19">
        <v>59172.68</v>
      </c>
      <c r="X301" s="19">
        <v>50124.0</v>
      </c>
      <c r="Y301" s="19">
        <v>49000.0</v>
      </c>
      <c r="Z301" s="10">
        <f t="shared" si="1"/>
        <v>10172.68</v>
      </c>
      <c r="AA301" s="15">
        <f t="shared" si="2"/>
        <v>-1124</v>
      </c>
      <c r="AB301" s="19" t="s">
        <v>39</v>
      </c>
      <c r="AC301" s="17" t="s">
        <v>1768</v>
      </c>
    </row>
    <row r="302">
      <c r="A302" s="35">
        <v>300.0</v>
      </c>
      <c r="B302" s="37" t="s">
        <v>1769</v>
      </c>
      <c r="C302" s="35" t="s">
        <v>1770</v>
      </c>
      <c r="D302" s="35" t="s">
        <v>1771</v>
      </c>
      <c r="E302" s="37" t="s">
        <v>88</v>
      </c>
      <c r="F302" s="35" t="s">
        <v>1772</v>
      </c>
      <c r="G302" s="35" t="s">
        <v>1773</v>
      </c>
      <c r="H302" s="37">
        <v>7.98467355E9</v>
      </c>
      <c r="I302" s="37" t="s">
        <v>33</v>
      </c>
      <c r="J302" s="37" t="s">
        <v>33</v>
      </c>
      <c r="K302" s="37">
        <v>35000.0</v>
      </c>
      <c r="L302" s="37" t="s">
        <v>447</v>
      </c>
      <c r="M302" s="37" t="s">
        <v>152</v>
      </c>
      <c r="N302" s="39" t="s">
        <v>58</v>
      </c>
      <c r="O302" s="37" t="s">
        <v>66</v>
      </c>
      <c r="P302" s="37" t="s">
        <v>79</v>
      </c>
      <c r="Q302" s="54" t="s">
        <v>38</v>
      </c>
      <c r="R302" s="37" t="s">
        <v>440</v>
      </c>
      <c r="S302" s="37" t="s">
        <v>440</v>
      </c>
      <c r="T302" s="37" t="s">
        <v>1774</v>
      </c>
      <c r="U302" s="37" t="s">
        <v>33</v>
      </c>
      <c r="V302" s="41">
        <v>46378.28</v>
      </c>
      <c r="W302" s="41">
        <v>49013.0</v>
      </c>
      <c r="X302" s="37">
        <v>39700.0</v>
      </c>
      <c r="Y302" s="37">
        <v>38000.0</v>
      </c>
      <c r="Z302" s="45">
        <f t="shared" si="1"/>
        <v>11013</v>
      </c>
      <c r="AA302" s="15">
        <f t="shared" si="2"/>
        <v>-1700</v>
      </c>
      <c r="AB302" s="37" t="s">
        <v>39</v>
      </c>
      <c r="AC302" s="35" t="s">
        <v>1775</v>
      </c>
    </row>
    <row r="303">
      <c r="A303" s="17">
        <v>301.0</v>
      </c>
      <c r="B303" s="19" t="s">
        <v>1769</v>
      </c>
      <c r="C303" s="17" t="s">
        <v>1776</v>
      </c>
      <c r="D303" s="17" t="s">
        <v>1777</v>
      </c>
      <c r="E303" s="19" t="s">
        <v>88</v>
      </c>
      <c r="F303" s="17" t="s">
        <v>276</v>
      </c>
      <c r="G303" s="17" t="s">
        <v>1778</v>
      </c>
      <c r="H303" s="19" t="s">
        <v>1779</v>
      </c>
      <c r="I303" s="19">
        <v>9.586947033E9</v>
      </c>
      <c r="J303" s="19" t="s">
        <v>33</v>
      </c>
      <c r="K303" s="19">
        <v>28000.0</v>
      </c>
      <c r="L303" s="19" t="s">
        <v>447</v>
      </c>
      <c r="M303" s="19" t="s">
        <v>57</v>
      </c>
      <c r="N303" s="21" t="s">
        <v>58</v>
      </c>
      <c r="O303" s="19" t="s">
        <v>36</v>
      </c>
      <c r="P303" s="19" t="s">
        <v>60</v>
      </c>
      <c r="Q303" s="18" t="s">
        <v>38</v>
      </c>
      <c r="R303" s="19" t="s">
        <v>1780</v>
      </c>
      <c r="S303" s="19" t="s">
        <v>1422</v>
      </c>
      <c r="T303" s="19" t="s">
        <v>1781</v>
      </c>
      <c r="U303" s="19" t="s">
        <v>33</v>
      </c>
      <c r="V303" s="23">
        <v>47409.0</v>
      </c>
      <c r="W303" s="23">
        <v>50217.0</v>
      </c>
      <c r="X303" s="19">
        <v>40500.0</v>
      </c>
      <c r="Y303" s="19">
        <v>40500.0</v>
      </c>
      <c r="Z303" s="14">
        <f t="shared" si="1"/>
        <v>9717</v>
      </c>
      <c r="AA303" s="15">
        <f t="shared" si="2"/>
        <v>0</v>
      </c>
      <c r="AB303" s="19" t="s">
        <v>39</v>
      </c>
      <c r="AC303" s="17" t="s">
        <v>1782</v>
      </c>
    </row>
    <row r="304">
      <c r="A304" s="17">
        <v>302.0</v>
      </c>
      <c r="B304" s="19" t="s">
        <v>1769</v>
      </c>
      <c r="C304" s="17" t="s">
        <v>1783</v>
      </c>
      <c r="D304" s="17" t="s">
        <v>1784</v>
      </c>
      <c r="E304" s="19" t="s">
        <v>88</v>
      </c>
      <c r="F304" s="17" t="s">
        <v>1785</v>
      </c>
      <c r="G304" s="17" t="s">
        <v>1786</v>
      </c>
      <c r="H304" s="19">
        <v>9.823725364E9</v>
      </c>
      <c r="I304" s="19">
        <v>9.87952644E9</v>
      </c>
      <c r="J304" s="19" t="s">
        <v>33</v>
      </c>
      <c r="K304" s="19">
        <v>42000.0</v>
      </c>
      <c r="L304" s="19" t="s">
        <v>1612</v>
      </c>
      <c r="M304" s="19" t="s">
        <v>107</v>
      </c>
      <c r="N304" s="21" t="s">
        <v>58</v>
      </c>
      <c r="O304" s="19" t="s">
        <v>36</v>
      </c>
      <c r="P304" s="19" t="s">
        <v>60</v>
      </c>
      <c r="Q304" s="18" t="s">
        <v>38</v>
      </c>
      <c r="R304" s="19" t="s">
        <v>1787</v>
      </c>
      <c r="S304" s="19" t="s">
        <v>1788</v>
      </c>
      <c r="T304" s="19" t="s">
        <v>1789</v>
      </c>
      <c r="U304" s="19" t="s">
        <v>33</v>
      </c>
      <c r="V304" s="23">
        <v>50983.0</v>
      </c>
      <c r="W304" s="23">
        <v>54409.0</v>
      </c>
      <c r="X304" s="19">
        <v>46000.0</v>
      </c>
      <c r="Y304" s="19">
        <v>46000.0</v>
      </c>
      <c r="Z304" s="14">
        <f t="shared" si="1"/>
        <v>8409</v>
      </c>
      <c r="AA304" s="15">
        <f t="shared" si="2"/>
        <v>0</v>
      </c>
      <c r="AB304" s="19" t="s">
        <v>39</v>
      </c>
      <c r="AC304" s="17" t="s">
        <v>1790</v>
      </c>
    </row>
    <row r="305">
      <c r="A305" s="26">
        <v>303.0</v>
      </c>
      <c r="B305" s="19" t="s">
        <v>1769</v>
      </c>
      <c r="C305" s="17" t="s">
        <v>1791</v>
      </c>
      <c r="D305" s="17" t="s">
        <v>1792</v>
      </c>
      <c r="E305" s="19" t="s">
        <v>52</v>
      </c>
      <c r="F305" s="17" t="s">
        <v>216</v>
      </c>
      <c r="G305" s="17" t="s">
        <v>1793</v>
      </c>
      <c r="H305" s="19">
        <v>7.046004786E9</v>
      </c>
      <c r="I305" s="19">
        <v>9.714497617E9</v>
      </c>
      <c r="J305" s="19" t="s">
        <v>33</v>
      </c>
      <c r="K305" s="19">
        <v>3460.0</v>
      </c>
      <c r="L305" s="19" t="s">
        <v>1189</v>
      </c>
      <c r="M305" s="19" t="s">
        <v>57</v>
      </c>
      <c r="N305" s="21" t="s">
        <v>58</v>
      </c>
      <c r="O305" s="19" t="s">
        <v>424</v>
      </c>
      <c r="P305" s="19" t="s">
        <v>60</v>
      </c>
      <c r="Q305" s="18" t="s">
        <v>38</v>
      </c>
      <c r="R305" s="19" t="s">
        <v>448</v>
      </c>
      <c r="S305" s="19" t="s">
        <v>146</v>
      </c>
      <c r="T305" s="22">
        <v>47636.0</v>
      </c>
      <c r="U305" s="19" t="s">
        <v>33</v>
      </c>
      <c r="V305" s="23">
        <v>22248.0</v>
      </c>
      <c r="W305" s="23">
        <v>24154.0</v>
      </c>
      <c r="X305" s="19">
        <v>15525.0</v>
      </c>
      <c r="Y305" s="19">
        <v>15500.0</v>
      </c>
      <c r="Z305" s="14">
        <f t="shared" si="1"/>
        <v>8654</v>
      </c>
      <c r="AA305" s="15">
        <f t="shared" si="2"/>
        <v>-25</v>
      </c>
      <c r="AB305" s="19" t="s">
        <v>39</v>
      </c>
      <c r="AC305" s="17" t="s">
        <v>1794</v>
      </c>
    </row>
    <row r="306">
      <c r="A306" s="17">
        <v>304.0</v>
      </c>
      <c r="B306" s="19" t="s">
        <v>1769</v>
      </c>
      <c r="C306" s="17" t="s">
        <v>1795</v>
      </c>
      <c r="D306" s="17" t="s">
        <v>1796</v>
      </c>
      <c r="E306" s="19" t="s">
        <v>269</v>
      </c>
      <c r="F306" s="17" t="s">
        <v>1797</v>
      </c>
      <c r="G306" s="17" t="s">
        <v>1798</v>
      </c>
      <c r="H306" s="19">
        <v>9.773132711E9</v>
      </c>
      <c r="I306" s="19">
        <v>9.773132711E9</v>
      </c>
      <c r="J306" s="19" t="s">
        <v>33</v>
      </c>
      <c r="K306" s="19">
        <v>11990.0</v>
      </c>
      <c r="L306" s="19" t="s">
        <v>1403</v>
      </c>
      <c r="M306" s="19" t="s">
        <v>92</v>
      </c>
      <c r="N306" s="21" t="s">
        <v>58</v>
      </c>
      <c r="O306" s="19" t="s">
        <v>66</v>
      </c>
      <c r="P306" s="19" t="s">
        <v>79</v>
      </c>
      <c r="Q306" s="18" t="s">
        <v>38</v>
      </c>
      <c r="R306" s="19" t="s">
        <v>433</v>
      </c>
      <c r="S306" s="19" t="s">
        <v>1799</v>
      </c>
      <c r="T306" s="19" t="s">
        <v>476</v>
      </c>
      <c r="U306" s="19" t="s">
        <v>33</v>
      </c>
      <c r="V306" s="23">
        <v>31499.0</v>
      </c>
      <c r="W306" s="23">
        <v>33635.0</v>
      </c>
      <c r="X306" s="19">
        <v>28938.0</v>
      </c>
      <c r="Y306" s="19">
        <v>29000.0</v>
      </c>
      <c r="Z306" s="14">
        <f t="shared" si="1"/>
        <v>4635</v>
      </c>
      <c r="AA306" s="15">
        <f t="shared" si="2"/>
        <v>62</v>
      </c>
      <c r="AB306" s="19" t="s">
        <v>39</v>
      </c>
      <c r="AC306" s="17" t="s">
        <v>1800</v>
      </c>
    </row>
    <row r="307">
      <c r="A307" s="17">
        <v>305.0</v>
      </c>
      <c r="B307" s="19" t="s">
        <v>1769</v>
      </c>
      <c r="C307" s="17" t="s">
        <v>1801</v>
      </c>
      <c r="D307" s="17" t="s">
        <v>1802</v>
      </c>
      <c r="E307" s="19" t="s">
        <v>102</v>
      </c>
      <c r="F307" s="17" t="s">
        <v>111</v>
      </c>
      <c r="G307" s="17" t="s">
        <v>1803</v>
      </c>
      <c r="H307" s="19">
        <v>7.284051507E9</v>
      </c>
      <c r="I307" s="19">
        <v>9.106020727E9</v>
      </c>
      <c r="J307" s="19" t="s">
        <v>55</v>
      </c>
      <c r="K307" s="19">
        <v>818.0</v>
      </c>
      <c r="L307" s="19" t="s">
        <v>1804</v>
      </c>
      <c r="M307" s="19" t="s">
        <v>107</v>
      </c>
      <c r="N307" s="21" t="s">
        <v>58</v>
      </c>
      <c r="O307" s="19" t="s">
        <v>66</v>
      </c>
      <c r="P307" s="19" t="s">
        <v>60</v>
      </c>
      <c r="Q307" s="18" t="s">
        <v>38</v>
      </c>
      <c r="R307" s="19" t="s">
        <v>1139</v>
      </c>
      <c r="S307" s="19" t="s">
        <v>1200</v>
      </c>
      <c r="T307" s="22">
        <v>47240.0</v>
      </c>
      <c r="U307" s="19" t="s">
        <v>33</v>
      </c>
      <c r="V307" s="19">
        <v>6682.0</v>
      </c>
      <c r="W307" s="19">
        <v>7885.0</v>
      </c>
      <c r="X307" s="19">
        <v>6500.0</v>
      </c>
      <c r="Y307" s="19">
        <v>6500.0</v>
      </c>
      <c r="Z307" s="10">
        <f t="shared" si="1"/>
        <v>1385</v>
      </c>
      <c r="AA307" s="15">
        <f t="shared" si="2"/>
        <v>0</v>
      </c>
      <c r="AB307" s="19" t="s">
        <v>39</v>
      </c>
      <c r="AC307" s="17" t="s">
        <v>1805</v>
      </c>
    </row>
    <row r="308">
      <c r="A308" s="17">
        <v>306.0</v>
      </c>
      <c r="B308" s="19" t="s">
        <v>1769</v>
      </c>
      <c r="C308" s="17" t="s">
        <v>1806</v>
      </c>
      <c r="D308" s="17" t="s">
        <v>1807</v>
      </c>
      <c r="E308" s="19" t="s">
        <v>102</v>
      </c>
      <c r="F308" s="17" t="s">
        <v>111</v>
      </c>
      <c r="G308" s="17" t="s">
        <v>1808</v>
      </c>
      <c r="H308" s="19">
        <v>8.488891126E9</v>
      </c>
      <c r="I308" s="19">
        <v>9.439426126E9</v>
      </c>
      <c r="J308" s="19" t="s">
        <v>33</v>
      </c>
      <c r="K308" s="19">
        <v>818.0</v>
      </c>
      <c r="L308" s="19" t="s">
        <v>1403</v>
      </c>
      <c r="M308" s="19" t="s">
        <v>107</v>
      </c>
      <c r="N308" s="21" t="s">
        <v>58</v>
      </c>
      <c r="O308" s="19" t="s">
        <v>129</v>
      </c>
      <c r="P308" s="19" t="s">
        <v>60</v>
      </c>
      <c r="Q308" s="18" t="s">
        <v>38</v>
      </c>
      <c r="R308" s="19" t="s">
        <v>1032</v>
      </c>
      <c r="S308" s="19" t="s">
        <v>1033</v>
      </c>
      <c r="T308" s="19" t="s">
        <v>212</v>
      </c>
      <c r="U308" s="19" t="s">
        <v>33</v>
      </c>
      <c r="V308" s="23">
        <v>6788.0</v>
      </c>
      <c r="W308" s="23">
        <v>8010.0</v>
      </c>
      <c r="X308" s="19">
        <v>6500.0</v>
      </c>
      <c r="Y308" s="19">
        <v>6500.0</v>
      </c>
      <c r="Z308" s="14">
        <f t="shared" si="1"/>
        <v>1510</v>
      </c>
      <c r="AA308" s="15">
        <f t="shared" si="2"/>
        <v>0</v>
      </c>
      <c r="AB308" s="19" t="s">
        <v>39</v>
      </c>
      <c r="AC308" s="17" t="s">
        <v>1809</v>
      </c>
    </row>
    <row r="309">
      <c r="A309" s="17">
        <v>307.0</v>
      </c>
      <c r="B309" s="19" t="s">
        <v>1769</v>
      </c>
      <c r="C309" s="17" t="s">
        <v>1810</v>
      </c>
      <c r="D309" s="17" t="s">
        <v>1811</v>
      </c>
      <c r="E309" s="19" t="s">
        <v>102</v>
      </c>
      <c r="F309" s="17" t="s">
        <v>111</v>
      </c>
      <c r="G309" s="17" t="s">
        <v>1812</v>
      </c>
      <c r="H309" s="19">
        <v>9.726811621E9</v>
      </c>
      <c r="I309" s="19">
        <v>7.069173823E9</v>
      </c>
      <c r="J309" s="19" t="s">
        <v>33</v>
      </c>
      <c r="K309" s="19">
        <v>818.0</v>
      </c>
      <c r="L309" s="19" t="s">
        <v>1403</v>
      </c>
      <c r="M309" s="19" t="s">
        <v>107</v>
      </c>
      <c r="N309" s="21" t="s">
        <v>58</v>
      </c>
      <c r="O309" s="19" t="s">
        <v>136</v>
      </c>
      <c r="P309" s="19" t="s">
        <v>60</v>
      </c>
      <c r="Q309" s="18" t="s">
        <v>38</v>
      </c>
      <c r="R309" s="19" t="s">
        <v>441</v>
      </c>
      <c r="S309" s="19" t="s">
        <v>906</v>
      </c>
      <c r="T309" s="19" t="s">
        <v>1813</v>
      </c>
      <c r="U309" s="19" t="s">
        <v>33</v>
      </c>
      <c r="V309" s="23">
        <v>7388.0</v>
      </c>
      <c r="W309" s="23">
        <v>8718.0</v>
      </c>
      <c r="X309" s="19">
        <v>7500.0</v>
      </c>
      <c r="Y309" s="24">
        <v>7000.0</v>
      </c>
      <c r="Z309" s="14">
        <f t="shared" si="1"/>
        <v>1718</v>
      </c>
      <c r="AA309" s="15">
        <f t="shared" si="2"/>
        <v>-500</v>
      </c>
      <c r="AB309" s="19" t="s">
        <v>39</v>
      </c>
      <c r="AC309" s="17" t="s">
        <v>1814</v>
      </c>
    </row>
    <row r="310">
      <c r="A310" s="17">
        <v>308.0</v>
      </c>
      <c r="B310" s="19" t="s">
        <v>1769</v>
      </c>
      <c r="C310" s="17" t="s">
        <v>1815</v>
      </c>
      <c r="D310" s="17" t="s">
        <v>1816</v>
      </c>
      <c r="E310" s="19" t="s">
        <v>102</v>
      </c>
      <c r="F310" s="17" t="s">
        <v>111</v>
      </c>
      <c r="G310" s="17" t="s">
        <v>1817</v>
      </c>
      <c r="H310" s="19">
        <v>6.351737323E9</v>
      </c>
      <c r="I310" s="19">
        <v>8.780573307E9</v>
      </c>
      <c r="J310" s="19" t="s">
        <v>105</v>
      </c>
      <c r="K310" s="19">
        <v>818.0</v>
      </c>
      <c r="L310" s="19" t="s">
        <v>1403</v>
      </c>
      <c r="M310" s="19" t="s">
        <v>107</v>
      </c>
      <c r="N310" s="21" t="s">
        <v>58</v>
      </c>
      <c r="O310" s="19" t="s">
        <v>209</v>
      </c>
      <c r="P310" s="19" t="s">
        <v>60</v>
      </c>
      <c r="Q310" s="18" t="s">
        <v>38</v>
      </c>
      <c r="R310" s="25">
        <v>46003.0</v>
      </c>
      <c r="S310" s="25">
        <v>45638.0</v>
      </c>
      <c r="T310" s="19" t="s">
        <v>519</v>
      </c>
      <c r="U310" s="19" t="s">
        <v>33</v>
      </c>
      <c r="V310" s="23">
        <v>6659.0</v>
      </c>
      <c r="W310" s="19">
        <v>7858.0</v>
      </c>
      <c r="X310" s="19">
        <v>6500.0</v>
      </c>
      <c r="Y310" s="19">
        <v>6000.0</v>
      </c>
      <c r="Z310" s="10">
        <f t="shared" si="1"/>
        <v>1858</v>
      </c>
      <c r="AA310" s="15">
        <f t="shared" si="2"/>
        <v>-500</v>
      </c>
      <c r="AB310" s="19" t="s">
        <v>39</v>
      </c>
      <c r="AC310" s="17" t="s">
        <v>1818</v>
      </c>
    </row>
    <row r="311">
      <c r="A311" s="17">
        <v>309.0</v>
      </c>
      <c r="B311" s="19" t="s">
        <v>1769</v>
      </c>
      <c r="C311" s="17" t="s">
        <v>1819</v>
      </c>
      <c r="D311" s="17" t="s">
        <v>1820</v>
      </c>
      <c r="E311" s="19" t="s">
        <v>269</v>
      </c>
      <c r="F311" s="17" t="s">
        <v>1821</v>
      </c>
      <c r="G311" s="17" t="s">
        <v>1822</v>
      </c>
      <c r="H311" s="19">
        <v>9.913772807E9</v>
      </c>
      <c r="I311" s="19" t="s">
        <v>33</v>
      </c>
      <c r="J311" s="19" t="s">
        <v>33</v>
      </c>
      <c r="K311" s="19">
        <v>11990.0</v>
      </c>
      <c r="L311" s="19" t="s">
        <v>447</v>
      </c>
      <c r="M311" s="19" t="s">
        <v>107</v>
      </c>
      <c r="N311" s="21" t="s">
        <v>58</v>
      </c>
      <c r="O311" s="19" t="s">
        <v>66</v>
      </c>
      <c r="P311" s="19" t="s">
        <v>60</v>
      </c>
      <c r="Q311" s="18" t="s">
        <v>38</v>
      </c>
      <c r="R311" s="22">
        <v>46024.0</v>
      </c>
      <c r="S311" s="22">
        <v>46303.0</v>
      </c>
      <c r="T311" s="22">
        <v>46448.0</v>
      </c>
      <c r="U311" s="19" t="s">
        <v>33</v>
      </c>
      <c r="V311" s="23">
        <v>37386.0</v>
      </c>
      <c r="W311" s="19">
        <v>40582.0</v>
      </c>
      <c r="X311" s="19">
        <v>35988.0</v>
      </c>
      <c r="Y311" s="19">
        <v>35500.0</v>
      </c>
      <c r="Z311" s="10">
        <f t="shared" si="1"/>
        <v>5082</v>
      </c>
      <c r="AA311" s="15">
        <f t="shared" si="2"/>
        <v>-488</v>
      </c>
      <c r="AB311" s="19" t="s">
        <v>39</v>
      </c>
      <c r="AC311" s="17" t="s">
        <v>1823</v>
      </c>
    </row>
    <row r="312">
      <c r="A312" s="17">
        <v>310.0</v>
      </c>
      <c r="B312" s="19" t="s">
        <v>1769</v>
      </c>
      <c r="C312" s="17" t="s">
        <v>1824</v>
      </c>
      <c r="D312" s="17" t="s">
        <v>1825</v>
      </c>
      <c r="E312" s="19" t="s">
        <v>88</v>
      </c>
      <c r="F312" s="17" t="s">
        <v>1826</v>
      </c>
      <c r="G312" s="17" t="s">
        <v>1827</v>
      </c>
      <c r="H312" s="19">
        <v>9.0994348E9</v>
      </c>
      <c r="I312" s="19">
        <v>6.353248051E9</v>
      </c>
      <c r="J312" s="19" t="s">
        <v>33</v>
      </c>
      <c r="K312" s="19">
        <v>16200.0</v>
      </c>
      <c r="L312" s="19" t="s">
        <v>1403</v>
      </c>
      <c r="M312" s="19" t="s">
        <v>152</v>
      </c>
      <c r="N312" s="21" t="s">
        <v>58</v>
      </c>
      <c r="O312" s="19" t="s">
        <v>129</v>
      </c>
      <c r="P312" s="19" t="s">
        <v>60</v>
      </c>
      <c r="Q312" s="18" t="s">
        <v>38</v>
      </c>
      <c r="R312" s="22">
        <v>46425.0</v>
      </c>
      <c r="S312" s="19" t="s">
        <v>33</v>
      </c>
      <c r="T312" s="22">
        <v>47641.0</v>
      </c>
      <c r="U312" s="19" t="s">
        <v>33</v>
      </c>
      <c r="V312" s="23">
        <v>38577.35</v>
      </c>
      <c r="W312" s="23">
        <v>40931.0</v>
      </c>
      <c r="X312" s="19">
        <v>34192.0</v>
      </c>
      <c r="Y312" s="19">
        <v>34500.0</v>
      </c>
      <c r="Z312" s="14">
        <f t="shared" si="1"/>
        <v>6431</v>
      </c>
      <c r="AA312" s="15">
        <f t="shared" si="2"/>
        <v>308</v>
      </c>
      <c r="AB312" s="19" t="s">
        <v>39</v>
      </c>
      <c r="AC312" s="17" t="s">
        <v>1828</v>
      </c>
    </row>
    <row r="313">
      <c r="A313" s="17">
        <v>311.0</v>
      </c>
      <c r="B313" s="19" t="s">
        <v>1769</v>
      </c>
      <c r="C313" s="17" t="s">
        <v>1829</v>
      </c>
      <c r="D313" s="17" t="s">
        <v>1830</v>
      </c>
      <c r="E313" s="19" t="s">
        <v>167</v>
      </c>
      <c r="F313" s="17" t="s">
        <v>264</v>
      </c>
      <c r="G313" s="17" t="s">
        <v>1831</v>
      </c>
      <c r="H313" s="19">
        <v>9.601058407E9</v>
      </c>
      <c r="I313" s="19">
        <v>8.98026814E9</v>
      </c>
      <c r="J313" s="19" t="s">
        <v>33</v>
      </c>
      <c r="K313" s="19">
        <v>995.0</v>
      </c>
      <c r="L313" s="19" t="s">
        <v>447</v>
      </c>
      <c r="M313" s="19" t="s">
        <v>152</v>
      </c>
      <c r="N313" s="21" t="s">
        <v>58</v>
      </c>
      <c r="O313" s="19" t="s">
        <v>431</v>
      </c>
      <c r="P313" s="19" t="s">
        <v>60</v>
      </c>
      <c r="Q313" s="18" t="s">
        <v>38</v>
      </c>
      <c r="R313" s="19" t="s">
        <v>1686</v>
      </c>
      <c r="S313" s="19" t="s">
        <v>1200</v>
      </c>
      <c r="T313" s="19" t="s">
        <v>33</v>
      </c>
      <c r="U313" s="19" t="s">
        <v>33</v>
      </c>
      <c r="V313" s="23">
        <v>5184.44</v>
      </c>
      <c r="W313" s="23">
        <v>5534.0</v>
      </c>
      <c r="X313" s="19">
        <v>5000.0</v>
      </c>
      <c r="Y313" s="19">
        <v>5000.0</v>
      </c>
      <c r="Z313" s="14">
        <f t="shared" si="1"/>
        <v>534</v>
      </c>
      <c r="AA313" s="15">
        <f t="shared" si="2"/>
        <v>0</v>
      </c>
      <c r="AB313" s="19" t="s">
        <v>39</v>
      </c>
      <c r="AC313" s="17" t="s">
        <v>1832</v>
      </c>
    </row>
    <row r="314">
      <c r="A314" s="17">
        <v>312.0</v>
      </c>
      <c r="B314" s="19" t="s">
        <v>1769</v>
      </c>
      <c r="C314" s="17" t="s">
        <v>1833</v>
      </c>
      <c r="D314" s="17" t="s">
        <v>1834</v>
      </c>
      <c r="E314" s="19" t="s">
        <v>52</v>
      </c>
      <c r="F314" s="17" t="s">
        <v>1835</v>
      </c>
      <c r="G314" s="17" t="s">
        <v>1836</v>
      </c>
      <c r="H314" s="19">
        <v>9.898030028E9</v>
      </c>
      <c r="I314" s="19">
        <v>8.849634295E9</v>
      </c>
      <c r="J314" s="19" t="s">
        <v>33</v>
      </c>
      <c r="K314" s="19">
        <v>2960.0</v>
      </c>
      <c r="L314" s="19" t="s">
        <v>447</v>
      </c>
      <c r="M314" s="19" t="s">
        <v>839</v>
      </c>
      <c r="N314" s="21" t="s">
        <v>58</v>
      </c>
      <c r="O314" s="19" t="s">
        <v>424</v>
      </c>
      <c r="P314" s="19" t="s">
        <v>60</v>
      </c>
      <c r="Q314" s="18" t="s">
        <v>38</v>
      </c>
      <c r="R314" s="22">
        <v>46509.0</v>
      </c>
      <c r="S314" s="19" t="s">
        <v>294</v>
      </c>
      <c r="T314" s="19" t="s">
        <v>33</v>
      </c>
      <c r="U314" s="19" t="s">
        <v>33</v>
      </c>
      <c r="V314" s="23">
        <v>17604.0</v>
      </c>
      <c r="W314" s="23">
        <v>18687.0</v>
      </c>
      <c r="X314" s="19">
        <v>12594.0</v>
      </c>
      <c r="Y314" s="19">
        <v>12500.0</v>
      </c>
      <c r="Z314" s="14">
        <f t="shared" si="1"/>
        <v>6187</v>
      </c>
      <c r="AA314" s="15">
        <f t="shared" si="2"/>
        <v>-94</v>
      </c>
      <c r="AB314" s="19" t="s">
        <v>39</v>
      </c>
      <c r="AC314" s="17" t="s">
        <v>1837</v>
      </c>
    </row>
    <row r="315">
      <c r="A315" s="17">
        <v>313.0</v>
      </c>
      <c r="B315" s="19" t="s">
        <v>1769</v>
      </c>
      <c r="C315" s="17" t="s">
        <v>1838</v>
      </c>
      <c r="D315" s="17" t="s">
        <v>1839</v>
      </c>
      <c r="E315" s="19" t="s">
        <v>52</v>
      </c>
      <c r="F315" s="17" t="s">
        <v>187</v>
      </c>
      <c r="G315" s="17" t="s">
        <v>1840</v>
      </c>
      <c r="H315" s="19">
        <v>9.265115926E9</v>
      </c>
      <c r="I315" s="19">
        <v>9.023711661E9</v>
      </c>
      <c r="J315" s="19" t="s">
        <v>357</v>
      </c>
      <c r="K315" s="19">
        <v>1600.0</v>
      </c>
      <c r="L315" s="19" t="s">
        <v>447</v>
      </c>
      <c r="M315" s="19" t="s">
        <v>189</v>
      </c>
      <c r="N315" s="21" t="s">
        <v>58</v>
      </c>
      <c r="O315" s="19" t="s">
        <v>431</v>
      </c>
      <c r="P315" s="19" t="s">
        <v>79</v>
      </c>
      <c r="Q315" s="18" t="s">
        <v>38</v>
      </c>
      <c r="R315" s="19" t="s">
        <v>1841</v>
      </c>
      <c r="S315" s="19" t="s">
        <v>503</v>
      </c>
      <c r="T315" s="19" t="s">
        <v>33</v>
      </c>
      <c r="U315" s="19" t="s">
        <v>33</v>
      </c>
      <c r="V315" s="23">
        <v>21520.0</v>
      </c>
      <c r="W315" s="23">
        <v>23307.0</v>
      </c>
      <c r="X315" s="19">
        <v>14319.0</v>
      </c>
      <c r="Y315" s="19">
        <v>13300.0</v>
      </c>
      <c r="Z315" s="14">
        <f t="shared" si="1"/>
        <v>10007</v>
      </c>
      <c r="AA315" s="15">
        <f t="shared" si="2"/>
        <v>-1019</v>
      </c>
      <c r="AB315" s="19" t="s">
        <v>39</v>
      </c>
      <c r="AC315" s="17" t="s">
        <v>1842</v>
      </c>
    </row>
    <row r="316">
      <c r="A316" s="26">
        <v>314.0</v>
      </c>
      <c r="B316" s="19" t="s">
        <v>1843</v>
      </c>
      <c r="C316" s="17" t="s">
        <v>1844</v>
      </c>
      <c r="D316" s="17" t="s">
        <v>1845</v>
      </c>
      <c r="E316" s="19" t="s">
        <v>102</v>
      </c>
      <c r="F316" s="17" t="s">
        <v>1846</v>
      </c>
      <c r="G316" s="17" t="s">
        <v>1847</v>
      </c>
      <c r="H316" s="19">
        <v>8.000111921E9</v>
      </c>
      <c r="I316" s="19">
        <v>7.862834248E9</v>
      </c>
      <c r="J316" s="19" t="s">
        <v>105</v>
      </c>
      <c r="K316" s="19">
        <v>751.0</v>
      </c>
      <c r="L316" s="19" t="s">
        <v>1612</v>
      </c>
      <c r="M316" s="19" t="s">
        <v>107</v>
      </c>
      <c r="N316" s="21" t="s">
        <v>58</v>
      </c>
      <c r="O316" s="19" t="s">
        <v>66</v>
      </c>
      <c r="P316" s="19" t="s">
        <v>60</v>
      </c>
      <c r="Q316" s="18" t="s">
        <v>38</v>
      </c>
      <c r="R316" s="19" t="s">
        <v>1848</v>
      </c>
      <c r="S316" s="22">
        <v>46175.0</v>
      </c>
      <c r="T316" s="19" t="s">
        <v>1849</v>
      </c>
      <c r="U316" s="19" t="s">
        <v>33</v>
      </c>
      <c r="V316" s="23">
        <v>6430.0</v>
      </c>
      <c r="W316" s="23">
        <v>7588.0</v>
      </c>
      <c r="X316" s="19">
        <v>6500.0</v>
      </c>
      <c r="Y316" s="19">
        <v>6000.0</v>
      </c>
      <c r="Z316" s="14">
        <f t="shared" si="1"/>
        <v>1588</v>
      </c>
      <c r="AA316" s="15">
        <f t="shared" si="2"/>
        <v>-500</v>
      </c>
      <c r="AB316" s="19" t="s">
        <v>39</v>
      </c>
      <c r="AC316" s="17" t="s">
        <v>1850</v>
      </c>
    </row>
    <row r="317">
      <c r="A317" s="17">
        <v>315.0</v>
      </c>
      <c r="B317" s="19" t="s">
        <v>1843</v>
      </c>
      <c r="C317" s="17" t="s">
        <v>1851</v>
      </c>
      <c r="D317" s="17" t="s">
        <v>1852</v>
      </c>
      <c r="E317" s="19" t="s">
        <v>102</v>
      </c>
      <c r="F317" s="17" t="s">
        <v>1846</v>
      </c>
      <c r="G317" s="17" t="s">
        <v>1847</v>
      </c>
      <c r="H317" s="19">
        <v>8.000111921E9</v>
      </c>
      <c r="I317" s="19">
        <v>7.862834248E9</v>
      </c>
      <c r="J317" s="19" t="s">
        <v>33</v>
      </c>
      <c r="K317" s="19">
        <v>756.0</v>
      </c>
      <c r="L317" s="19" t="s">
        <v>1612</v>
      </c>
      <c r="M317" s="19" t="s">
        <v>107</v>
      </c>
      <c r="N317" s="21" t="s">
        <v>58</v>
      </c>
      <c r="O317" s="19" t="s">
        <v>66</v>
      </c>
      <c r="P317" s="19" t="s">
        <v>60</v>
      </c>
      <c r="Q317" s="18" t="s">
        <v>38</v>
      </c>
      <c r="R317" s="19" t="s">
        <v>1415</v>
      </c>
      <c r="S317" s="19" t="s">
        <v>1780</v>
      </c>
      <c r="T317" s="19" t="s">
        <v>1849</v>
      </c>
      <c r="U317" s="19" t="s">
        <v>33</v>
      </c>
      <c r="V317" s="19">
        <v>6430.0</v>
      </c>
      <c r="W317" s="19">
        <v>7588.0</v>
      </c>
      <c r="X317" s="19">
        <v>6500.0</v>
      </c>
      <c r="Y317" s="19">
        <v>6000.0</v>
      </c>
      <c r="Z317" s="10">
        <f t="shared" si="1"/>
        <v>1588</v>
      </c>
      <c r="AA317" s="15">
        <f t="shared" si="2"/>
        <v>-500</v>
      </c>
      <c r="AB317" s="19" t="s">
        <v>39</v>
      </c>
      <c r="AC317" s="17" t="s">
        <v>1853</v>
      </c>
    </row>
    <row r="318">
      <c r="A318" s="17">
        <v>316.0</v>
      </c>
      <c r="B318" s="19" t="s">
        <v>1843</v>
      </c>
      <c r="C318" s="17" t="s">
        <v>1854</v>
      </c>
      <c r="D318" s="17" t="s">
        <v>1855</v>
      </c>
      <c r="E318" s="19" t="s">
        <v>102</v>
      </c>
      <c r="F318" s="17" t="s">
        <v>111</v>
      </c>
      <c r="G318" s="17" t="s">
        <v>1856</v>
      </c>
      <c r="H318" s="19">
        <v>7.096542442E9</v>
      </c>
      <c r="I318" s="19" t="s">
        <v>33</v>
      </c>
      <c r="J318" s="19" t="s">
        <v>1857</v>
      </c>
      <c r="K318" s="19">
        <v>818.0</v>
      </c>
      <c r="L318" s="19" t="s">
        <v>1318</v>
      </c>
      <c r="M318" s="19" t="s">
        <v>107</v>
      </c>
      <c r="N318" s="21" t="s">
        <v>58</v>
      </c>
      <c r="O318" s="19" t="s">
        <v>36</v>
      </c>
      <c r="P318" s="19" t="s">
        <v>60</v>
      </c>
      <c r="Q318" s="18" t="s">
        <v>38</v>
      </c>
      <c r="R318" s="19" t="s">
        <v>170</v>
      </c>
      <c r="S318" s="19" t="s">
        <v>210</v>
      </c>
      <c r="T318" s="19" t="s">
        <v>525</v>
      </c>
      <c r="U318" s="19" t="s">
        <v>33</v>
      </c>
      <c r="V318" s="23">
        <v>6674.0</v>
      </c>
      <c r="W318" s="23">
        <v>7876.0</v>
      </c>
      <c r="X318" s="19">
        <v>6500.0</v>
      </c>
      <c r="Y318" s="19">
        <v>6000.0</v>
      </c>
      <c r="Z318" s="14">
        <f t="shared" si="1"/>
        <v>1876</v>
      </c>
      <c r="AA318" s="15">
        <f t="shared" si="2"/>
        <v>-500</v>
      </c>
      <c r="AB318" s="19" t="s">
        <v>39</v>
      </c>
      <c r="AC318" s="17" t="s">
        <v>1858</v>
      </c>
    </row>
    <row r="319">
      <c r="A319" s="17">
        <v>317.0</v>
      </c>
      <c r="B319" s="19" t="s">
        <v>1843</v>
      </c>
      <c r="C319" s="17" t="s">
        <v>1859</v>
      </c>
      <c r="D319" s="17" t="s">
        <v>1860</v>
      </c>
      <c r="E319" s="19" t="s">
        <v>102</v>
      </c>
      <c r="F319" s="17" t="s">
        <v>111</v>
      </c>
      <c r="G319" s="17" t="s">
        <v>1861</v>
      </c>
      <c r="H319" s="19">
        <v>7.990268697E9</v>
      </c>
      <c r="I319" s="19" t="s">
        <v>33</v>
      </c>
      <c r="J319" s="19" t="s">
        <v>33</v>
      </c>
      <c r="K319" s="19">
        <v>806.0</v>
      </c>
      <c r="L319" s="19" t="s">
        <v>1318</v>
      </c>
      <c r="M319" s="19" t="s">
        <v>107</v>
      </c>
      <c r="N319" s="21" t="s">
        <v>58</v>
      </c>
      <c r="O319" s="19" t="s">
        <v>36</v>
      </c>
      <c r="P319" s="19" t="s">
        <v>60</v>
      </c>
      <c r="Q319" s="18" t="s">
        <v>38</v>
      </c>
      <c r="R319" s="19" t="s">
        <v>1862</v>
      </c>
      <c r="S319" s="22">
        <v>45390.0</v>
      </c>
      <c r="T319" s="19" t="s">
        <v>1863</v>
      </c>
      <c r="U319" s="19" t="s">
        <v>33</v>
      </c>
      <c r="V319" s="19">
        <v>6682.0</v>
      </c>
      <c r="W319" s="19">
        <v>7885.0</v>
      </c>
      <c r="X319" s="19">
        <v>6500.0</v>
      </c>
      <c r="Y319" s="19">
        <v>6000.0</v>
      </c>
      <c r="Z319" s="10">
        <f t="shared" si="1"/>
        <v>1885</v>
      </c>
      <c r="AA319" s="15">
        <f t="shared" si="2"/>
        <v>-500</v>
      </c>
      <c r="AB319" s="19" t="s">
        <v>39</v>
      </c>
      <c r="AC319" s="17" t="s">
        <v>1864</v>
      </c>
    </row>
    <row r="320">
      <c r="A320" s="26">
        <v>318.0</v>
      </c>
      <c r="B320" s="19" t="s">
        <v>1843</v>
      </c>
      <c r="C320" s="17" t="s">
        <v>1865</v>
      </c>
      <c r="D320" s="17" t="s">
        <v>1866</v>
      </c>
      <c r="E320" s="19" t="s">
        <v>88</v>
      </c>
      <c r="F320" s="17" t="s">
        <v>1867</v>
      </c>
      <c r="G320" s="17" t="s">
        <v>1868</v>
      </c>
      <c r="H320" s="19">
        <v>9.979021262E9</v>
      </c>
      <c r="I320" s="19">
        <v>9.265841155E9</v>
      </c>
      <c r="J320" s="19" t="s">
        <v>357</v>
      </c>
      <c r="K320" s="19">
        <v>42000.0</v>
      </c>
      <c r="L320" s="19" t="s">
        <v>1189</v>
      </c>
      <c r="M320" s="19" t="s">
        <v>285</v>
      </c>
      <c r="N320" s="21" t="s">
        <v>58</v>
      </c>
      <c r="O320" s="19" t="s">
        <v>431</v>
      </c>
      <c r="P320" s="19" t="s">
        <v>79</v>
      </c>
      <c r="Q320" s="18" t="s">
        <v>38</v>
      </c>
      <c r="R320" s="22">
        <v>46420.0</v>
      </c>
      <c r="S320" s="19" t="s">
        <v>503</v>
      </c>
      <c r="T320" s="22">
        <v>47301.0</v>
      </c>
      <c r="U320" s="19" t="s">
        <v>33</v>
      </c>
      <c r="V320" s="23">
        <v>48603.0</v>
      </c>
      <c r="W320" s="23">
        <v>51600.0</v>
      </c>
      <c r="X320" s="19">
        <v>44477.0</v>
      </c>
      <c r="Y320" s="19">
        <v>44800.0</v>
      </c>
      <c r="Z320" s="14">
        <f t="shared" si="1"/>
        <v>6800</v>
      </c>
      <c r="AA320" s="15">
        <f t="shared" si="2"/>
        <v>323</v>
      </c>
      <c r="AB320" s="19" t="s">
        <v>39</v>
      </c>
      <c r="AC320" s="17" t="s">
        <v>1869</v>
      </c>
    </row>
    <row r="321">
      <c r="A321" s="17">
        <v>319.0</v>
      </c>
      <c r="B321" s="19" t="s">
        <v>1843</v>
      </c>
      <c r="C321" s="17" t="s">
        <v>1870</v>
      </c>
      <c r="D321" s="17" t="s">
        <v>1871</v>
      </c>
      <c r="E321" s="19" t="s">
        <v>52</v>
      </c>
      <c r="F321" s="17" t="s">
        <v>187</v>
      </c>
      <c r="G321" s="17" t="s">
        <v>1872</v>
      </c>
      <c r="H321" s="19">
        <v>7.016277021E9</v>
      </c>
      <c r="I321" s="19">
        <v>9.879787312E9</v>
      </c>
      <c r="J321" s="19" t="s">
        <v>33</v>
      </c>
      <c r="K321" s="19">
        <v>1600.0</v>
      </c>
      <c r="L321" s="19" t="s">
        <v>1612</v>
      </c>
      <c r="M321" s="19" t="s">
        <v>189</v>
      </c>
      <c r="N321" s="21" t="s">
        <v>58</v>
      </c>
      <c r="O321" s="19" t="s">
        <v>66</v>
      </c>
      <c r="P321" s="19" t="s">
        <v>79</v>
      </c>
      <c r="Q321" s="18" t="s">
        <v>38</v>
      </c>
      <c r="R321" s="19" t="s">
        <v>1873</v>
      </c>
      <c r="S321" s="19" t="s">
        <v>1128</v>
      </c>
      <c r="T321" s="19" t="s">
        <v>33</v>
      </c>
      <c r="U321" s="19" t="s">
        <v>33</v>
      </c>
      <c r="V321" s="19">
        <v>16991.0</v>
      </c>
      <c r="W321" s="19">
        <v>17963.0</v>
      </c>
      <c r="X321" s="19">
        <v>11888.0</v>
      </c>
      <c r="Y321" s="19">
        <v>12000.0</v>
      </c>
      <c r="Z321" s="10">
        <f t="shared" si="1"/>
        <v>5963</v>
      </c>
      <c r="AA321" s="15">
        <f t="shared" si="2"/>
        <v>112</v>
      </c>
      <c r="AB321" s="19" t="s">
        <v>39</v>
      </c>
      <c r="AC321" s="17" t="s">
        <v>1874</v>
      </c>
    </row>
    <row r="322">
      <c r="A322" s="17">
        <v>320.0</v>
      </c>
      <c r="B322" s="19" t="s">
        <v>1843</v>
      </c>
      <c r="C322" s="17" t="s">
        <v>1875</v>
      </c>
      <c r="D322" s="17" t="s">
        <v>1876</v>
      </c>
      <c r="E322" s="19" t="s">
        <v>52</v>
      </c>
      <c r="F322" s="17" t="s">
        <v>1877</v>
      </c>
      <c r="G322" s="17" t="s">
        <v>1878</v>
      </c>
      <c r="H322" s="19">
        <v>7.06989922E9</v>
      </c>
      <c r="I322" s="19">
        <v>7.09624322E9</v>
      </c>
      <c r="J322" s="19" t="s">
        <v>55</v>
      </c>
      <c r="K322" s="19">
        <v>3460.0</v>
      </c>
      <c r="L322" s="19" t="s">
        <v>1612</v>
      </c>
      <c r="M322" s="19" t="s">
        <v>57</v>
      </c>
      <c r="N322" s="21" t="s">
        <v>58</v>
      </c>
      <c r="O322" s="19" t="s">
        <v>209</v>
      </c>
      <c r="P322" s="19" t="s">
        <v>60</v>
      </c>
      <c r="Q322" s="18" t="s">
        <v>38</v>
      </c>
      <c r="R322" s="19" t="s">
        <v>1506</v>
      </c>
      <c r="S322" s="19" t="s">
        <v>1879</v>
      </c>
      <c r="T322" s="22">
        <v>47183.0</v>
      </c>
      <c r="U322" s="19" t="s">
        <v>33</v>
      </c>
      <c r="V322" s="23">
        <v>20223.0</v>
      </c>
      <c r="W322" s="23">
        <v>21766.0</v>
      </c>
      <c r="X322" s="19">
        <v>15332.0</v>
      </c>
      <c r="Y322" s="19">
        <v>15500.0</v>
      </c>
      <c r="Z322" s="14">
        <f t="shared" si="1"/>
        <v>6266</v>
      </c>
      <c r="AA322" s="15">
        <f t="shared" si="2"/>
        <v>168</v>
      </c>
      <c r="AB322" s="19" t="s">
        <v>39</v>
      </c>
      <c r="AC322" s="17" t="s">
        <v>1880</v>
      </c>
    </row>
    <row r="323">
      <c r="A323" s="17">
        <v>321.0</v>
      </c>
      <c r="B323" s="19" t="s">
        <v>1843</v>
      </c>
      <c r="C323" s="17" t="s">
        <v>1881</v>
      </c>
      <c r="D323" s="17" t="s">
        <v>1882</v>
      </c>
      <c r="E323" s="19" t="s">
        <v>88</v>
      </c>
      <c r="F323" s="17" t="s">
        <v>1883</v>
      </c>
      <c r="G323" s="17" t="s">
        <v>1884</v>
      </c>
      <c r="H323" s="19" t="s">
        <v>1885</v>
      </c>
      <c r="I323" s="19">
        <v>8.849816474E9</v>
      </c>
      <c r="J323" s="19" t="s">
        <v>33</v>
      </c>
      <c r="K323" s="19">
        <v>35000.0</v>
      </c>
      <c r="L323" s="19" t="s">
        <v>1612</v>
      </c>
      <c r="M323" s="19" t="s">
        <v>57</v>
      </c>
      <c r="N323" s="21" t="s">
        <v>58</v>
      </c>
      <c r="O323" s="19" t="s">
        <v>93</v>
      </c>
      <c r="P323" s="19" t="s">
        <v>60</v>
      </c>
      <c r="Q323" s="18" t="s">
        <v>38</v>
      </c>
      <c r="R323" s="19" t="s">
        <v>1841</v>
      </c>
      <c r="S323" s="19" t="s">
        <v>1139</v>
      </c>
      <c r="T323" s="19" t="s">
        <v>612</v>
      </c>
      <c r="U323" s="19" t="s">
        <v>33</v>
      </c>
      <c r="V323" s="23">
        <v>73711.0</v>
      </c>
      <c r="W323" s="23">
        <v>81254.0</v>
      </c>
      <c r="X323" s="19">
        <v>62943.0</v>
      </c>
      <c r="Y323" s="19">
        <v>63000.0</v>
      </c>
      <c r="Z323" s="14">
        <f t="shared" si="1"/>
        <v>18254</v>
      </c>
      <c r="AA323" s="15">
        <f t="shared" si="2"/>
        <v>57</v>
      </c>
      <c r="AB323" s="19" t="s">
        <v>39</v>
      </c>
      <c r="AC323" s="17" t="s">
        <v>1886</v>
      </c>
    </row>
    <row r="324">
      <c r="A324" s="17">
        <v>322.0</v>
      </c>
      <c r="B324" s="19" t="s">
        <v>1843</v>
      </c>
      <c r="C324" s="17" t="s">
        <v>1887</v>
      </c>
      <c r="D324" s="17" t="s">
        <v>1888</v>
      </c>
      <c r="E324" s="19" t="s">
        <v>88</v>
      </c>
      <c r="F324" s="17" t="s">
        <v>1889</v>
      </c>
      <c r="G324" s="17" t="s">
        <v>1890</v>
      </c>
      <c r="H324" s="19">
        <v>9.72309883E9</v>
      </c>
      <c r="I324" s="19" t="s">
        <v>33</v>
      </c>
      <c r="J324" s="19" t="s">
        <v>1891</v>
      </c>
      <c r="K324" s="19">
        <v>35000.0</v>
      </c>
      <c r="L324" s="19" t="s">
        <v>1612</v>
      </c>
      <c r="M324" s="19" t="s">
        <v>57</v>
      </c>
      <c r="N324" s="21" t="s">
        <v>58</v>
      </c>
      <c r="O324" s="19" t="s">
        <v>209</v>
      </c>
      <c r="P324" s="19" t="s">
        <v>60</v>
      </c>
      <c r="Q324" s="18" t="s">
        <v>38</v>
      </c>
      <c r="R324" s="22">
        <v>46388.0</v>
      </c>
      <c r="S324" s="19" t="s">
        <v>211</v>
      </c>
      <c r="T324" s="19" t="s">
        <v>330</v>
      </c>
      <c r="U324" s="19" t="s">
        <v>33</v>
      </c>
      <c r="V324" s="23">
        <v>49160.0</v>
      </c>
      <c r="W324" s="23">
        <v>52283.0</v>
      </c>
      <c r="X324" s="19">
        <v>41573.0</v>
      </c>
      <c r="Y324" s="19">
        <v>41000.0</v>
      </c>
      <c r="Z324" s="14">
        <f t="shared" si="1"/>
        <v>11283</v>
      </c>
      <c r="AA324" s="15">
        <f t="shared" si="2"/>
        <v>-573</v>
      </c>
      <c r="AB324" s="19" t="s">
        <v>39</v>
      </c>
      <c r="AC324" s="17" t="s">
        <v>1892</v>
      </c>
    </row>
    <row r="325">
      <c r="A325" s="17">
        <v>323.0</v>
      </c>
      <c r="B325" s="19" t="s">
        <v>1843</v>
      </c>
      <c r="C325" s="17" t="s">
        <v>1893</v>
      </c>
      <c r="D325" s="17" t="s">
        <v>1894</v>
      </c>
      <c r="E325" s="19" t="s">
        <v>75</v>
      </c>
      <c r="F325" s="17" t="s">
        <v>1709</v>
      </c>
      <c r="G325" s="17" t="s">
        <v>1895</v>
      </c>
      <c r="H325" s="19">
        <v>8.401739518E9</v>
      </c>
      <c r="I325" s="19" t="s">
        <v>33</v>
      </c>
      <c r="J325" s="19" t="s">
        <v>618</v>
      </c>
      <c r="K325" s="19">
        <v>109.0</v>
      </c>
      <c r="L325" s="19" t="s">
        <v>1612</v>
      </c>
      <c r="M325" s="19" t="s">
        <v>574</v>
      </c>
      <c r="N325" s="21" t="s">
        <v>46</v>
      </c>
      <c r="O325" s="19" t="s">
        <v>36</v>
      </c>
      <c r="P325" s="19" t="s">
        <v>1492</v>
      </c>
      <c r="Q325" s="18" t="s">
        <v>38</v>
      </c>
      <c r="R325" s="22">
        <v>46206.0</v>
      </c>
      <c r="S325" s="19" t="s">
        <v>33</v>
      </c>
      <c r="T325" s="19" t="s">
        <v>33</v>
      </c>
      <c r="U325" s="19" t="s">
        <v>33</v>
      </c>
      <c r="V325" s="23">
        <v>714.0</v>
      </c>
      <c r="W325" s="23">
        <v>842.52</v>
      </c>
      <c r="X325" s="19">
        <v>850.0</v>
      </c>
      <c r="Y325" s="19">
        <v>850.0</v>
      </c>
      <c r="Z325" s="14">
        <f t="shared" si="1"/>
        <v>-7.48</v>
      </c>
      <c r="AA325" s="15">
        <f t="shared" si="2"/>
        <v>0</v>
      </c>
      <c r="AB325" s="19" t="s">
        <v>39</v>
      </c>
      <c r="AC325" s="17" t="s">
        <v>1896</v>
      </c>
    </row>
    <row r="326">
      <c r="A326" s="17">
        <v>324.0</v>
      </c>
      <c r="B326" s="19" t="s">
        <v>1843</v>
      </c>
      <c r="C326" s="17" t="s">
        <v>1897</v>
      </c>
      <c r="D326" s="17" t="s">
        <v>1898</v>
      </c>
      <c r="E326" s="19" t="s">
        <v>75</v>
      </c>
      <c r="F326" s="17" t="s">
        <v>1899</v>
      </c>
      <c r="G326" s="17" t="s">
        <v>1900</v>
      </c>
      <c r="H326" s="19" t="s">
        <v>1901</v>
      </c>
      <c r="I326" s="19" t="s">
        <v>33</v>
      </c>
      <c r="J326" s="19" t="s">
        <v>33</v>
      </c>
      <c r="K326" s="19">
        <v>123.0</v>
      </c>
      <c r="L326" s="19" t="s">
        <v>1189</v>
      </c>
      <c r="M326" s="19" t="s">
        <v>78</v>
      </c>
      <c r="N326" s="21" t="s">
        <v>46</v>
      </c>
      <c r="O326" s="52" t="s">
        <v>66</v>
      </c>
      <c r="P326" s="19" t="s">
        <v>1492</v>
      </c>
      <c r="Q326" s="18" t="s">
        <v>38</v>
      </c>
      <c r="R326" s="22">
        <v>50192.0</v>
      </c>
      <c r="S326" s="22">
        <v>45078.0</v>
      </c>
      <c r="T326" s="19" t="s">
        <v>33</v>
      </c>
      <c r="U326" s="19" t="s">
        <v>33</v>
      </c>
      <c r="V326" s="19">
        <v>714.0</v>
      </c>
      <c r="W326" s="19">
        <v>843.0</v>
      </c>
      <c r="X326" s="19">
        <v>850.0</v>
      </c>
      <c r="Y326" s="19">
        <v>850.0</v>
      </c>
      <c r="Z326" s="10">
        <f t="shared" si="1"/>
        <v>-7</v>
      </c>
      <c r="AA326" s="15">
        <f t="shared" si="2"/>
        <v>0</v>
      </c>
      <c r="AB326" s="19" t="s">
        <v>39</v>
      </c>
      <c r="AC326" s="17" t="s">
        <v>1902</v>
      </c>
    </row>
    <row r="327">
      <c r="A327" s="56">
        <v>325.0</v>
      </c>
      <c r="B327" s="19" t="s">
        <v>1903</v>
      </c>
      <c r="C327" s="17" t="s">
        <v>1614</v>
      </c>
      <c r="D327" s="17" t="s">
        <v>1904</v>
      </c>
      <c r="E327" s="19" t="s">
        <v>88</v>
      </c>
      <c r="F327" s="17" t="s">
        <v>1905</v>
      </c>
      <c r="G327" s="17" t="s">
        <v>1906</v>
      </c>
      <c r="H327" s="19"/>
      <c r="I327" s="19"/>
      <c r="J327" s="19"/>
      <c r="K327" s="19">
        <v>45500.0</v>
      </c>
      <c r="L327" s="19" t="s">
        <v>1612</v>
      </c>
      <c r="M327" s="19" t="s">
        <v>107</v>
      </c>
      <c r="N327" s="21"/>
      <c r="O327" s="19" t="s">
        <v>36</v>
      </c>
      <c r="P327" s="19" t="s">
        <v>60</v>
      </c>
      <c r="Q327" s="18" t="s">
        <v>38</v>
      </c>
      <c r="R327" s="22">
        <v>46540.0</v>
      </c>
      <c r="S327" s="19" t="s">
        <v>557</v>
      </c>
      <c r="T327" s="22">
        <v>46936.0</v>
      </c>
      <c r="U327" s="19" t="s">
        <v>33</v>
      </c>
      <c r="V327" s="23">
        <v>5070.0</v>
      </c>
      <c r="W327" s="23">
        <v>5982.0</v>
      </c>
      <c r="X327" s="9"/>
      <c r="Y327" s="9"/>
      <c r="Z327" s="14">
        <f t="shared" si="1"/>
        <v>5982</v>
      </c>
      <c r="AA327" s="15">
        <f t="shared" si="2"/>
        <v>0</v>
      </c>
      <c r="AB327" s="19" t="s">
        <v>39</v>
      </c>
      <c r="AC327" s="17" t="s">
        <v>1907</v>
      </c>
    </row>
    <row r="328">
      <c r="A328" s="17">
        <v>326.0</v>
      </c>
      <c r="B328" s="19" t="s">
        <v>1903</v>
      </c>
      <c r="C328" s="17" t="s">
        <v>1608</v>
      </c>
      <c r="D328" s="17" t="s">
        <v>1908</v>
      </c>
      <c r="E328" s="19" t="s">
        <v>88</v>
      </c>
      <c r="F328" s="17" t="s">
        <v>1905</v>
      </c>
      <c r="G328" s="17" t="s">
        <v>1906</v>
      </c>
      <c r="H328" s="19"/>
      <c r="I328" s="19"/>
      <c r="J328" s="19"/>
      <c r="K328" s="19">
        <v>45500.0</v>
      </c>
      <c r="L328" s="19" t="s">
        <v>1612</v>
      </c>
      <c r="M328" s="19" t="s">
        <v>107</v>
      </c>
      <c r="N328" s="21"/>
      <c r="O328" s="19" t="s">
        <v>36</v>
      </c>
      <c r="P328" s="19" t="s">
        <v>60</v>
      </c>
      <c r="Q328" s="18" t="s">
        <v>38</v>
      </c>
      <c r="R328" s="22">
        <v>46540.0</v>
      </c>
      <c r="S328" s="22">
        <v>46115.0</v>
      </c>
      <c r="T328" s="22">
        <v>46936.0</v>
      </c>
      <c r="U328" s="19" t="s">
        <v>33</v>
      </c>
      <c r="V328" s="23">
        <v>5070.0</v>
      </c>
      <c r="W328" s="23">
        <v>5982.0</v>
      </c>
      <c r="X328" s="19"/>
      <c r="Y328" s="19"/>
      <c r="Z328" s="14">
        <f t="shared" si="1"/>
        <v>5982</v>
      </c>
      <c r="AA328" s="15">
        <f t="shared" si="2"/>
        <v>0</v>
      </c>
      <c r="AB328" s="19" t="s">
        <v>39</v>
      </c>
      <c r="AC328" s="17" t="s">
        <v>1909</v>
      </c>
    </row>
    <row r="329">
      <c r="A329" s="17">
        <v>327.0</v>
      </c>
      <c r="B329" s="19" t="s">
        <v>1903</v>
      </c>
      <c r="C329" s="17" t="s">
        <v>1910</v>
      </c>
      <c r="D329" s="17" t="s">
        <v>1911</v>
      </c>
      <c r="E329" s="19" t="s">
        <v>52</v>
      </c>
      <c r="F329" s="17" t="s">
        <v>216</v>
      </c>
      <c r="G329" s="17" t="s">
        <v>1912</v>
      </c>
      <c r="H329" s="19">
        <v>8.530069595E9</v>
      </c>
      <c r="I329" s="19">
        <v>9.913804311E9</v>
      </c>
      <c r="J329" s="19" t="s">
        <v>105</v>
      </c>
      <c r="K329" s="19">
        <v>3460.0</v>
      </c>
      <c r="L329" s="19" t="s">
        <v>1913</v>
      </c>
      <c r="M329" s="19" t="s">
        <v>57</v>
      </c>
      <c r="N329" s="21" t="s">
        <v>58</v>
      </c>
      <c r="O329" s="19" t="s">
        <v>66</v>
      </c>
      <c r="P329" s="19" t="s">
        <v>60</v>
      </c>
      <c r="Q329" s="18" t="s">
        <v>38</v>
      </c>
      <c r="R329" s="19" t="s">
        <v>1506</v>
      </c>
      <c r="S329" s="19" t="s">
        <v>230</v>
      </c>
      <c r="T329" s="19" t="s">
        <v>879</v>
      </c>
      <c r="U329" s="19" t="s">
        <v>33</v>
      </c>
      <c r="V329" s="23">
        <v>22045.0</v>
      </c>
      <c r="W329" s="23">
        <v>23915.0</v>
      </c>
      <c r="X329" s="19">
        <v>15296.0</v>
      </c>
      <c r="Y329" s="19">
        <v>15500.0</v>
      </c>
      <c r="Z329" s="14">
        <f t="shared" si="1"/>
        <v>8415</v>
      </c>
      <c r="AA329" s="15">
        <f t="shared" si="2"/>
        <v>204</v>
      </c>
      <c r="AB329" s="19" t="s">
        <v>39</v>
      </c>
      <c r="AC329" s="17" t="s">
        <v>1914</v>
      </c>
    </row>
    <row r="330">
      <c r="A330" s="17">
        <v>328.0</v>
      </c>
      <c r="B330" s="19" t="s">
        <v>1903</v>
      </c>
      <c r="C330" s="17" t="s">
        <v>1915</v>
      </c>
      <c r="D330" s="18">
        <v>9.00929049E8</v>
      </c>
      <c r="E330" s="19" t="s">
        <v>30</v>
      </c>
      <c r="F330" s="17" t="s">
        <v>31</v>
      </c>
      <c r="G330" s="17" t="s">
        <v>1916</v>
      </c>
      <c r="H330" s="19" t="s">
        <v>1917</v>
      </c>
      <c r="I330" s="19" t="s">
        <v>1918</v>
      </c>
      <c r="J330" s="19" t="s">
        <v>33</v>
      </c>
      <c r="K330" s="19">
        <v>1197.0</v>
      </c>
      <c r="L330" s="19" t="s">
        <v>1189</v>
      </c>
      <c r="M330" s="19" t="s">
        <v>34</v>
      </c>
      <c r="N330" s="21" t="s">
        <v>58</v>
      </c>
      <c r="O330" s="19" t="s">
        <v>66</v>
      </c>
      <c r="P330" s="19" t="s">
        <v>37</v>
      </c>
      <c r="Q330" s="18" t="s">
        <v>38</v>
      </c>
      <c r="R330" s="19" t="s">
        <v>1919</v>
      </c>
      <c r="S330" s="19" t="s">
        <v>776</v>
      </c>
      <c r="T330" s="19" t="s">
        <v>33</v>
      </c>
      <c r="U330" s="19" t="s">
        <v>33</v>
      </c>
      <c r="V330" s="23">
        <v>9031.06</v>
      </c>
      <c r="W330" s="23">
        <v>10657.0</v>
      </c>
      <c r="X330" s="19">
        <v>10650.0</v>
      </c>
      <c r="Y330" s="19">
        <v>10650.0</v>
      </c>
      <c r="Z330" s="14">
        <f t="shared" si="1"/>
        <v>7</v>
      </c>
      <c r="AA330" s="15">
        <f t="shared" si="2"/>
        <v>0</v>
      </c>
      <c r="AB330" s="19" t="s">
        <v>39</v>
      </c>
      <c r="AC330" s="17" t="s">
        <v>1920</v>
      </c>
    </row>
    <row r="331">
      <c r="A331" s="17">
        <v>329.0</v>
      </c>
      <c r="B331" s="19" t="s">
        <v>1903</v>
      </c>
      <c r="C331" s="17" t="s">
        <v>1921</v>
      </c>
      <c r="D331" s="17" t="s">
        <v>1922</v>
      </c>
      <c r="E331" s="52" t="s">
        <v>52</v>
      </c>
      <c r="F331" s="17" t="s">
        <v>1923</v>
      </c>
      <c r="G331" s="17" t="s">
        <v>1924</v>
      </c>
      <c r="H331" s="19">
        <v>9.825924668E9</v>
      </c>
      <c r="I331" s="19">
        <v>9.265020717E9</v>
      </c>
      <c r="J331" s="19" t="s">
        <v>33</v>
      </c>
      <c r="K331" s="19">
        <v>2120.0</v>
      </c>
      <c r="L331" s="19" t="s">
        <v>1189</v>
      </c>
      <c r="M331" s="19" t="s">
        <v>57</v>
      </c>
      <c r="N331" s="21" t="s">
        <v>58</v>
      </c>
      <c r="O331" s="19" t="s">
        <v>198</v>
      </c>
      <c r="P331" s="19" t="s">
        <v>60</v>
      </c>
      <c r="Q331" s="18" t="s">
        <v>38</v>
      </c>
      <c r="R331" s="22">
        <v>46330.0</v>
      </c>
      <c r="S331" s="22">
        <v>46206.0</v>
      </c>
      <c r="T331" s="19" t="s">
        <v>33</v>
      </c>
      <c r="U331" s="19" t="s">
        <v>33</v>
      </c>
      <c r="V331" s="23">
        <v>17264.0</v>
      </c>
      <c r="W331" s="23">
        <v>18274.0</v>
      </c>
      <c r="X331" s="19">
        <v>14500.0</v>
      </c>
      <c r="Y331" s="19">
        <v>14500.0</v>
      </c>
      <c r="Z331" s="14">
        <f t="shared" si="1"/>
        <v>3774</v>
      </c>
      <c r="AA331" s="15">
        <f t="shared" si="2"/>
        <v>0</v>
      </c>
      <c r="AB331" s="19" t="s">
        <v>39</v>
      </c>
      <c r="AC331" s="17" t="s">
        <v>1925</v>
      </c>
    </row>
    <row r="332">
      <c r="A332" s="26">
        <v>330.0</v>
      </c>
      <c r="B332" s="19" t="s">
        <v>1903</v>
      </c>
      <c r="C332" s="17" t="s">
        <v>1926</v>
      </c>
      <c r="D332" s="17" t="s">
        <v>1927</v>
      </c>
      <c r="E332" s="19" t="s">
        <v>52</v>
      </c>
      <c r="F332" s="17" t="s">
        <v>1928</v>
      </c>
      <c r="G332" s="17" t="s">
        <v>1929</v>
      </c>
      <c r="H332" s="19">
        <v>9.979313884E9</v>
      </c>
      <c r="I332" s="19">
        <v>9.313769516E9</v>
      </c>
      <c r="J332" s="19" t="s">
        <v>33</v>
      </c>
      <c r="K332" s="19">
        <v>1850.0</v>
      </c>
      <c r="L332" s="19" t="s">
        <v>1189</v>
      </c>
      <c r="M332" s="19" t="s">
        <v>152</v>
      </c>
      <c r="N332" s="21" t="s">
        <v>58</v>
      </c>
      <c r="O332" s="19" t="s">
        <v>66</v>
      </c>
      <c r="P332" s="19" t="s">
        <v>60</v>
      </c>
      <c r="Q332" s="18" t="s">
        <v>38</v>
      </c>
      <c r="R332" s="19" t="s">
        <v>1638</v>
      </c>
      <c r="S332" s="22">
        <v>46569.0</v>
      </c>
      <c r="T332" s="19" t="s">
        <v>33</v>
      </c>
      <c r="U332" s="19" t="s">
        <v>33</v>
      </c>
      <c r="V332" s="23">
        <v>19977.19</v>
      </c>
      <c r="W332" s="23">
        <v>21487.0</v>
      </c>
      <c r="X332" s="19">
        <v>13702.0</v>
      </c>
      <c r="Y332" s="19">
        <v>13000.0</v>
      </c>
      <c r="Z332" s="14">
        <f t="shared" si="1"/>
        <v>8487</v>
      </c>
      <c r="AA332" s="15">
        <f t="shared" si="2"/>
        <v>-702</v>
      </c>
      <c r="AB332" s="19" t="s">
        <v>39</v>
      </c>
      <c r="AC332" s="17" t="s">
        <v>1930</v>
      </c>
    </row>
    <row r="333">
      <c r="A333" s="17">
        <v>331.0</v>
      </c>
      <c r="B333" s="19" t="s">
        <v>1903</v>
      </c>
      <c r="C333" s="17" t="s">
        <v>1931</v>
      </c>
      <c r="D333" s="17" t="s">
        <v>1932</v>
      </c>
      <c r="E333" s="19" t="s">
        <v>167</v>
      </c>
      <c r="F333" s="17" t="s">
        <v>1933</v>
      </c>
      <c r="G333" s="17" t="s">
        <v>1934</v>
      </c>
      <c r="H333" s="19">
        <v>9.778611021E9</v>
      </c>
      <c r="I333" s="19" t="s">
        <v>33</v>
      </c>
      <c r="J333" s="19" t="s">
        <v>33</v>
      </c>
      <c r="K333" s="19">
        <v>520.0</v>
      </c>
      <c r="L333" s="19" t="s">
        <v>1189</v>
      </c>
      <c r="M333" s="19" t="s">
        <v>152</v>
      </c>
      <c r="N333" s="21" t="s">
        <v>46</v>
      </c>
      <c r="O333" s="19" t="s">
        <v>496</v>
      </c>
      <c r="P333" s="19" t="s">
        <v>60</v>
      </c>
      <c r="Q333" s="18" t="s">
        <v>38</v>
      </c>
      <c r="R333" s="22">
        <v>44806.0</v>
      </c>
      <c r="S333" s="19" t="s">
        <v>1935</v>
      </c>
      <c r="T333" s="19" t="s">
        <v>33</v>
      </c>
      <c r="U333" s="19" t="s">
        <v>33</v>
      </c>
      <c r="V333" s="23">
        <v>4542.0</v>
      </c>
      <c r="W333" s="23">
        <v>4776.0</v>
      </c>
      <c r="X333" s="19">
        <v>4500.0</v>
      </c>
      <c r="Y333" s="19">
        <v>4500.0</v>
      </c>
      <c r="Z333" s="14">
        <f t="shared" si="1"/>
        <v>276</v>
      </c>
      <c r="AA333" s="15">
        <f t="shared" si="2"/>
        <v>0</v>
      </c>
      <c r="AB333" s="19" t="s">
        <v>39</v>
      </c>
      <c r="AC333" s="17" t="s">
        <v>1936</v>
      </c>
    </row>
    <row r="334">
      <c r="A334" s="17">
        <v>332.0</v>
      </c>
      <c r="B334" s="19" t="s">
        <v>1903</v>
      </c>
      <c r="C334" s="17" t="s">
        <v>1937</v>
      </c>
      <c r="D334" s="17" t="s">
        <v>1938</v>
      </c>
      <c r="E334" s="19" t="s">
        <v>52</v>
      </c>
      <c r="F334" s="17" t="s">
        <v>1581</v>
      </c>
      <c r="G334" s="17" t="s">
        <v>1939</v>
      </c>
      <c r="H334" s="19">
        <v>7.99002828E9</v>
      </c>
      <c r="I334" s="19">
        <v>6.353312139E9</v>
      </c>
      <c r="J334" s="19" t="s">
        <v>33</v>
      </c>
      <c r="K334" s="19">
        <v>1600.0</v>
      </c>
      <c r="L334" s="20">
        <v>46632.0</v>
      </c>
      <c r="M334" s="19" t="s">
        <v>152</v>
      </c>
      <c r="N334" s="21" t="s">
        <v>58</v>
      </c>
      <c r="O334" s="19" t="s">
        <v>424</v>
      </c>
      <c r="P334" s="19" t="s">
        <v>60</v>
      </c>
      <c r="Q334" s="18" t="s">
        <v>38</v>
      </c>
      <c r="R334" s="22">
        <v>46693.0</v>
      </c>
      <c r="S334" s="22">
        <v>46328.0</v>
      </c>
      <c r="T334" s="19" t="s">
        <v>33</v>
      </c>
      <c r="U334" s="19" t="s">
        <v>33</v>
      </c>
      <c r="V334" s="23">
        <v>19331.61</v>
      </c>
      <c r="W334" s="23">
        <v>20725.0</v>
      </c>
      <c r="X334" s="19">
        <v>13500.0</v>
      </c>
      <c r="Y334" s="19">
        <v>13500.0</v>
      </c>
      <c r="Z334" s="14">
        <f t="shared" si="1"/>
        <v>7225</v>
      </c>
      <c r="AA334" s="15">
        <f t="shared" si="2"/>
        <v>0</v>
      </c>
      <c r="AB334" s="19"/>
      <c r="AC334" s="17" t="s">
        <v>1940</v>
      </c>
    </row>
    <row r="335">
      <c r="A335" s="17">
        <v>333.0</v>
      </c>
      <c r="B335" s="19" t="s">
        <v>1903</v>
      </c>
      <c r="C335" s="17" t="s">
        <v>1941</v>
      </c>
      <c r="D335" s="17" t="s">
        <v>1942</v>
      </c>
      <c r="E335" s="19" t="s">
        <v>52</v>
      </c>
      <c r="F335" s="17" t="s">
        <v>1943</v>
      </c>
      <c r="G335" s="17" t="s">
        <v>1944</v>
      </c>
      <c r="H335" s="19">
        <v>9.904656371E9</v>
      </c>
      <c r="I335" s="19" t="s">
        <v>33</v>
      </c>
      <c r="J335" s="19" t="s">
        <v>33</v>
      </c>
      <c r="K335" s="19">
        <v>6250.0</v>
      </c>
      <c r="L335" s="19" t="s">
        <v>1189</v>
      </c>
      <c r="M335" s="19" t="s">
        <v>92</v>
      </c>
      <c r="N335" s="21" t="s">
        <v>46</v>
      </c>
      <c r="O335" s="19" t="s">
        <v>198</v>
      </c>
      <c r="P335" s="19" t="s">
        <v>79</v>
      </c>
      <c r="Q335" s="18" t="s">
        <v>38</v>
      </c>
      <c r="R335" s="19" t="s">
        <v>1945</v>
      </c>
      <c r="S335" s="19" t="s">
        <v>1946</v>
      </c>
      <c r="T335" s="19" t="s">
        <v>316</v>
      </c>
      <c r="U335" s="19" t="s">
        <v>33</v>
      </c>
      <c r="V335" s="23">
        <v>16748.0</v>
      </c>
      <c r="W335" s="23">
        <v>17676.0</v>
      </c>
      <c r="X335" s="19">
        <v>14500.0</v>
      </c>
      <c r="Y335" s="19">
        <v>14500.0</v>
      </c>
      <c r="Z335" s="14">
        <f t="shared" si="1"/>
        <v>3176</v>
      </c>
      <c r="AA335" s="15">
        <f t="shared" si="2"/>
        <v>0</v>
      </c>
      <c r="AB335" s="19" t="s">
        <v>39</v>
      </c>
      <c r="AC335" s="17" t="s">
        <v>1947</v>
      </c>
    </row>
    <row r="336">
      <c r="A336" s="17">
        <v>334.0</v>
      </c>
      <c r="B336" s="19" t="s">
        <v>1903</v>
      </c>
      <c r="C336" s="17" t="s">
        <v>1948</v>
      </c>
      <c r="D336" s="17" t="s">
        <v>1949</v>
      </c>
      <c r="E336" s="19" t="s">
        <v>88</v>
      </c>
      <c r="F336" s="17" t="s">
        <v>1950</v>
      </c>
      <c r="G336" s="17" t="s">
        <v>1951</v>
      </c>
      <c r="H336" s="19">
        <v>9.978511211E9</v>
      </c>
      <c r="I336" s="19">
        <v>9.978911211E9</v>
      </c>
      <c r="J336" s="19" t="s">
        <v>33</v>
      </c>
      <c r="K336" s="19">
        <v>16200.0</v>
      </c>
      <c r="L336" s="19" t="s">
        <v>1058</v>
      </c>
      <c r="M336" s="19" t="s">
        <v>92</v>
      </c>
      <c r="N336" s="21" t="s">
        <v>46</v>
      </c>
      <c r="O336" s="19" t="s">
        <v>161</v>
      </c>
      <c r="P336" s="19" t="s">
        <v>1952</v>
      </c>
      <c r="Q336" s="18" t="s">
        <v>38</v>
      </c>
      <c r="R336" s="19" t="s">
        <v>1638</v>
      </c>
      <c r="S336" s="22">
        <v>46060.0</v>
      </c>
      <c r="T336" s="22">
        <v>47544.0</v>
      </c>
      <c r="U336" s="19" t="s">
        <v>33</v>
      </c>
      <c r="V336" s="23">
        <v>36062.0</v>
      </c>
      <c r="W336" s="23">
        <v>37962.0</v>
      </c>
      <c r="X336" s="19">
        <v>28000.0</v>
      </c>
      <c r="Y336" s="19">
        <v>28000.0</v>
      </c>
      <c r="Z336" s="14">
        <f t="shared" si="1"/>
        <v>9962</v>
      </c>
      <c r="AA336" s="15">
        <f t="shared" si="2"/>
        <v>0</v>
      </c>
      <c r="AB336" s="19" t="s">
        <v>39</v>
      </c>
      <c r="AC336" s="17" t="s">
        <v>1953</v>
      </c>
    </row>
    <row r="337">
      <c r="A337" s="17">
        <v>335.0</v>
      </c>
      <c r="B337" s="19" t="s">
        <v>1903</v>
      </c>
      <c r="C337" s="17" t="s">
        <v>1954</v>
      </c>
      <c r="D337" s="17" t="s">
        <v>1955</v>
      </c>
      <c r="E337" s="19" t="s">
        <v>102</v>
      </c>
      <c r="F337" s="17" t="s">
        <v>111</v>
      </c>
      <c r="G337" s="17" t="s">
        <v>1956</v>
      </c>
      <c r="H337" s="19">
        <v>6.355850087E9</v>
      </c>
      <c r="I337" s="19">
        <v>8.153853054E9</v>
      </c>
      <c r="J337" s="19" t="s">
        <v>55</v>
      </c>
      <c r="K337" s="19">
        <v>818.0</v>
      </c>
      <c r="L337" s="19" t="s">
        <v>1189</v>
      </c>
      <c r="M337" s="19" t="s">
        <v>107</v>
      </c>
      <c r="N337" s="21" t="s">
        <v>58</v>
      </c>
      <c r="O337" s="19" t="s">
        <v>66</v>
      </c>
      <c r="P337" s="19" t="s">
        <v>60</v>
      </c>
      <c r="Q337" s="18" t="s">
        <v>38</v>
      </c>
      <c r="R337" s="19" t="s">
        <v>1957</v>
      </c>
      <c r="S337" s="19" t="s">
        <v>1841</v>
      </c>
      <c r="T337" s="19" t="s">
        <v>1958</v>
      </c>
      <c r="U337" s="19" t="s">
        <v>33</v>
      </c>
      <c r="V337" s="23">
        <v>6690.0</v>
      </c>
      <c r="W337" s="23">
        <v>7894.0</v>
      </c>
      <c r="X337" s="19">
        <v>6500.0</v>
      </c>
      <c r="Y337" s="19">
        <v>6300.0</v>
      </c>
      <c r="Z337" s="14">
        <f t="shared" si="1"/>
        <v>1594</v>
      </c>
      <c r="AA337" s="15">
        <f t="shared" si="2"/>
        <v>-200</v>
      </c>
      <c r="AB337" s="19" t="s">
        <v>39</v>
      </c>
      <c r="AC337" s="17" t="s">
        <v>1959</v>
      </c>
    </row>
    <row r="338">
      <c r="A338" s="17">
        <v>336.0</v>
      </c>
      <c r="B338" s="19" t="s">
        <v>1903</v>
      </c>
      <c r="C338" s="17" t="s">
        <v>1960</v>
      </c>
      <c r="D338" s="17" t="s">
        <v>1961</v>
      </c>
      <c r="E338" s="19" t="s">
        <v>102</v>
      </c>
      <c r="F338" s="17" t="s">
        <v>1962</v>
      </c>
      <c r="G338" s="17" t="s">
        <v>1963</v>
      </c>
      <c r="H338" s="19">
        <v>9.265340866E9</v>
      </c>
      <c r="I338" s="19">
        <v>8.469915544E9</v>
      </c>
      <c r="J338" s="19" t="s">
        <v>1964</v>
      </c>
      <c r="K338" s="19">
        <v>748.0</v>
      </c>
      <c r="L338" s="19" t="s">
        <v>1612</v>
      </c>
      <c r="M338" s="19" t="s">
        <v>107</v>
      </c>
      <c r="N338" s="21" t="s">
        <v>58</v>
      </c>
      <c r="O338" s="19" t="s">
        <v>66</v>
      </c>
      <c r="P338" s="19" t="s">
        <v>60</v>
      </c>
      <c r="Q338" s="18" t="s">
        <v>38</v>
      </c>
      <c r="R338" s="22">
        <v>45820.0</v>
      </c>
      <c r="S338" s="22">
        <v>46358.0</v>
      </c>
      <c r="T338" s="22">
        <v>46215.0</v>
      </c>
      <c r="U338" s="19" t="s">
        <v>33</v>
      </c>
      <c r="V338" s="23">
        <v>6521.0</v>
      </c>
      <c r="W338" s="23">
        <v>7695.0</v>
      </c>
      <c r="X338" s="19">
        <v>6500.0</v>
      </c>
      <c r="Y338" s="19">
        <v>6500.0</v>
      </c>
      <c r="Z338" s="14">
        <f t="shared" si="1"/>
        <v>1195</v>
      </c>
      <c r="AA338" s="15">
        <f t="shared" si="2"/>
        <v>0</v>
      </c>
      <c r="AB338" s="19" t="s">
        <v>39</v>
      </c>
      <c r="AC338" s="17" t="s">
        <v>1965</v>
      </c>
    </row>
    <row r="339">
      <c r="A339" s="17">
        <v>337.0</v>
      </c>
      <c r="B339" s="19" t="s">
        <v>1903</v>
      </c>
      <c r="C339" s="17" t="s">
        <v>1966</v>
      </c>
      <c r="D339" s="17" t="s">
        <v>1967</v>
      </c>
      <c r="E339" s="19" t="s">
        <v>75</v>
      </c>
      <c r="F339" s="17" t="s">
        <v>1968</v>
      </c>
      <c r="G339" s="17" t="s">
        <v>1969</v>
      </c>
      <c r="H339" s="19">
        <v>8.000111921E9</v>
      </c>
      <c r="I339" s="19">
        <v>7.862834248E9</v>
      </c>
      <c r="J339" s="19" t="s">
        <v>33</v>
      </c>
      <c r="K339" s="19">
        <v>109.0</v>
      </c>
      <c r="L339" s="19" t="s">
        <v>1189</v>
      </c>
      <c r="M339" s="19" t="s">
        <v>574</v>
      </c>
      <c r="N339" s="21" t="s">
        <v>46</v>
      </c>
      <c r="O339" s="19" t="s">
        <v>66</v>
      </c>
      <c r="P339" s="19" t="s">
        <v>1492</v>
      </c>
      <c r="Q339" s="18" t="s">
        <v>38</v>
      </c>
      <c r="R339" s="22">
        <v>47646.0</v>
      </c>
      <c r="S339" s="19" t="s">
        <v>1970</v>
      </c>
      <c r="T339" s="19" t="s">
        <v>33</v>
      </c>
      <c r="U339" s="19" t="s">
        <v>33</v>
      </c>
      <c r="V339" s="23">
        <v>714.0</v>
      </c>
      <c r="W339" s="19">
        <v>842.52</v>
      </c>
      <c r="X339" s="19">
        <v>850.0</v>
      </c>
      <c r="Y339" s="19">
        <v>850.0</v>
      </c>
      <c r="Z339" s="10">
        <f t="shared" si="1"/>
        <v>-7.48</v>
      </c>
      <c r="AA339" s="15">
        <f t="shared" si="2"/>
        <v>0</v>
      </c>
      <c r="AB339" s="19" t="s">
        <v>39</v>
      </c>
      <c r="AC339" s="17" t="s">
        <v>1971</v>
      </c>
    </row>
    <row r="340">
      <c r="A340" s="17">
        <v>338.0</v>
      </c>
      <c r="B340" s="19" t="s">
        <v>1903</v>
      </c>
      <c r="C340" s="17" t="s">
        <v>1972</v>
      </c>
      <c r="D340" s="17" t="s">
        <v>1973</v>
      </c>
      <c r="E340" s="19" t="s">
        <v>102</v>
      </c>
      <c r="F340" s="17" t="s">
        <v>111</v>
      </c>
      <c r="G340" s="17" t="s">
        <v>1974</v>
      </c>
      <c r="H340" s="19">
        <v>9.979020703E9</v>
      </c>
      <c r="I340" s="19">
        <v>9.737804281E9</v>
      </c>
      <c r="J340" s="19" t="s">
        <v>33</v>
      </c>
      <c r="K340" s="19">
        <v>818.0</v>
      </c>
      <c r="L340" s="19" t="s">
        <v>1612</v>
      </c>
      <c r="M340" s="19" t="s">
        <v>107</v>
      </c>
      <c r="N340" s="21" t="s">
        <v>58</v>
      </c>
      <c r="O340" s="19" t="s">
        <v>66</v>
      </c>
      <c r="P340" s="19" t="s">
        <v>60</v>
      </c>
      <c r="Q340" s="18" t="s">
        <v>38</v>
      </c>
      <c r="R340" s="19" t="s">
        <v>1335</v>
      </c>
      <c r="S340" s="19" t="s">
        <v>1032</v>
      </c>
      <c r="T340" s="19" t="s">
        <v>1021</v>
      </c>
      <c r="U340" s="19" t="s">
        <v>33</v>
      </c>
      <c r="V340" s="23">
        <v>6659.0</v>
      </c>
      <c r="W340" s="23">
        <v>7858.0</v>
      </c>
      <c r="X340" s="19">
        <v>6500.0</v>
      </c>
      <c r="Y340" s="19">
        <v>6500.0</v>
      </c>
      <c r="Z340" s="14">
        <f t="shared" si="1"/>
        <v>1358</v>
      </c>
      <c r="AA340" s="15">
        <f t="shared" si="2"/>
        <v>0</v>
      </c>
      <c r="AB340" s="19" t="s">
        <v>39</v>
      </c>
      <c r="AC340" s="17" t="s">
        <v>1975</v>
      </c>
    </row>
    <row r="341">
      <c r="A341" s="17">
        <v>339.0</v>
      </c>
      <c r="B341" s="19" t="s">
        <v>1903</v>
      </c>
      <c r="C341" s="17" t="s">
        <v>1976</v>
      </c>
      <c r="D341" s="17" t="s">
        <v>1977</v>
      </c>
      <c r="E341" s="19" t="s">
        <v>75</v>
      </c>
      <c r="F341" s="17" t="s">
        <v>1978</v>
      </c>
      <c r="G341" s="17" t="s">
        <v>1979</v>
      </c>
      <c r="H341" s="19">
        <v>9.638181213E9</v>
      </c>
      <c r="I341" s="19">
        <v>9.558583492E9</v>
      </c>
      <c r="J341" s="19" t="s">
        <v>33</v>
      </c>
      <c r="K341" s="19">
        <v>97.0</v>
      </c>
      <c r="L341" s="19" t="s">
        <v>1913</v>
      </c>
      <c r="M341" s="19" t="s">
        <v>652</v>
      </c>
      <c r="N341" s="21" t="s">
        <v>46</v>
      </c>
      <c r="O341" s="19" t="s">
        <v>66</v>
      </c>
      <c r="P341" s="19" t="s">
        <v>1492</v>
      </c>
      <c r="Q341" s="18" t="s">
        <v>38</v>
      </c>
      <c r="R341" s="22">
        <v>46270.0</v>
      </c>
      <c r="S341" s="19" t="s">
        <v>33</v>
      </c>
      <c r="T341" s="19" t="s">
        <v>33</v>
      </c>
      <c r="U341" s="19" t="s">
        <v>33</v>
      </c>
      <c r="V341" s="23">
        <v>714.0</v>
      </c>
      <c r="W341" s="23">
        <v>843.0</v>
      </c>
      <c r="X341" s="19">
        <v>850.0</v>
      </c>
      <c r="Y341" s="19">
        <v>850.0</v>
      </c>
      <c r="Z341" s="14">
        <f t="shared" si="1"/>
        <v>-7</v>
      </c>
      <c r="AA341" s="15">
        <f t="shared" si="2"/>
        <v>0</v>
      </c>
      <c r="AB341" s="19" t="s">
        <v>39</v>
      </c>
      <c r="AC341" s="17" t="s">
        <v>1980</v>
      </c>
    </row>
    <row r="342">
      <c r="A342" s="17">
        <v>340.0</v>
      </c>
      <c r="B342" s="19" t="s">
        <v>1903</v>
      </c>
      <c r="C342" s="17" t="s">
        <v>1981</v>
      </c>
      <c r="D342" s="17" t="s">
        <v>1982</v>
      </c>
      <c r="E342" s="19" t="s">
        <v>88</v>
      </c>
      <c r="F342" s="17" t="s">
        <v>355</v>
      </c>
      <c r="G342" s="17" t="s">
        <v>1983</v>
      </c>
      <c r="H342" s="19">
        <v>7.016395724E9</v>
      </c>
      <c r="I342" s="19">
        <v>9.510779527E9</v>
      </c>
      <c r="J342" s="19" t="s">
        <v>33</v>
      </c>
      <c r="K342" s="19">
        <v>35000.0</v>
      </c>
      <c r="L342" s="19" t="s">
        <v>1612</v>
      </c>
      <c r="M342" s="19" t="s">
        <v>57</v>
      </c>
      <c r="N342" s="21" t="s">
        <v>58</v>
      </c>
      <c r="O342" s="19" t="s">
        <v>153</v>
      </c>
      <c r="P342" s="19" t="s">
        <v>1984</v>
      </c>
      <c r="Q342" s="18" t="s">
        <v>38</v>
      </c>
      <c r="R342" s="19" t="s">
        <v>758</v>
      </c>
      <c r="S342" s="19" t="s">
        <v>964</v>
      </c>
      <c r="T342" s="19" t="s">
        <v>964</v>
      </c>
      <c r="U342" s="19" t="s">
        <v>33</v>
      </c>
      <c r="V342" s="23">
        <v>49128.0</v>
      </c>
      <c r="W342" s="23">
        <v>52243.0</v>
      </c>
      <c r="X342" s="19">
        <v>41662.0</v>
      </c>
      <c r="Y342" s="19">
        <v>42000.0</v>
      </c>
      <c r="Z342" s="14">
        <f t="shared" si="1"/>
        <v>10243</v>
      </c>
      <c r="AA342" s="15">
        <f t="shared" si="2"/>
        <v>338</v>
      </c>
      <c r="AB342" s="19" t="s">
        <v>39</v>
      </c>
      <c r="AC342" s="17" t="s">
        <v>1985</v>
      </c>
    </row>
    <row r="343">
      <c r="A343" s="35">
        <v>341.0</v>
      </c>
      <c r="B343" s="37" t="s">
        <v>1986</v>
      </c>
      <c r="C343" s="35" t="s">
        <v>1987</v>
      </c>
      <c r="D343" s="35" t="s">
        <v>1988</v>
      </c>
      <c r="E343" s="37" t="s">
        <v>88</v>
      </c>
      <c r="F343" s="35" t="s">
        <v>1989</v>
      </c>
      <c r="G343" s="35" t="s">
        <v>1990</v>
      </c>
      <c r="H343" s="37">
        <v>9.825494657E9</v>
      </c>
      <c r="I343" s="37" t="s">
        <v>33</v>
      </c>
      <c r="J343" s="37" t="s">
        <v>33</v>
      </c>
      <c r="K343" s="37">
        <v>35000.0</v>
      </c>
      <c r="L343" s="37" t="s">
        <v>1189</v>
      </c>
      <c r="M343" s="37" t="s">
        <v>152</v>
      </c>
      <c r="N343" s="39" t="s">
        <v>58</v>
      </c>
      <c r="O343" s="37" t="s">
        <v>496</v>
      </c>
      <c r="P343" s="37" t="s">
        <v>60</v>
      </c>
      <c r="Q343" s="54" t="s">
        <v>38</v>
      </c>
      <c r="R343" s="43">
        <v>46056.0</v>
      </c>
      <c r="S343" s="43">
        <v>46357.0</v>
      </c>
      <c r="T343" s="37" t="s">
        <v>1991</v>
      </c>
      <c r="U343" s="37" t="s">
        <v>33</v>
      </c>
      <c r="V343" s="41">
        <v>47204.21</v>
      </c>
      <c r="W343" s="41">
        <v>49987.0</v>
      </c>
      <c r="X343" s="37">
        <v>40400.0</v>
      </c>
      <c r="Y343" s="37">
        <v>40400.0</v>
      </c>
      <c r="Z343" s="45">
        <f t="shared" si="1"/>
        <v>9587</v>
      </c>
      <c r="AA343" s="15">
        <f t="shared" si="2"/>
        <v>0</v>
      </c>
      <c r="AB343" s="37" t="s">
        <v>39</v>
      </c>
      <c r="AC343" s="35" t="s">
        <v>1992</v>
      </c>
    </row>
    <row r="344">
      <c r="A344" s="17">
        <v>342.0</v>
      </c>
      <c r="B344" s="29" t="s">
        <v>1986</v>
      </c>
      <c r="C344" s="17" t="s">
        <v>1993</v>
      </c>
      <c r="D344" s="17" t="s">
        <v>1994</v>
      </c>
      <c r="E344" s="19" t="s">
        <v>410</v>
      </c>
      <c r="F344" s="17" t="s">
        <v>1995</v>
      </c>
      <c r="G344" s="17" t="s">
        <v>1996</v>
      </c>
      <c r="H344" s="19">
        <v>7.60068702E9</v>
      </c>
      <c r="I344" s="19">
        <v>9.099665588E9</v>
      </c>
      <c r="J344" s="19" t="s">
        <v>33</v>
      </c>
      <c r="K344" s="19">
        <v>1493.0</v>
      </c>
      <c r="L344" s="19" t="s">
        <v>1189</v>
      </c>
      <c r="M344" s="19" t="s">
        <v>107</v>
      </c>
      <c r="N344" s="21" t="s">
        <v>58</v>
      </c>
      <c r="O344" s="19" t="s">
        <v>431</v>
      </c>
      <c r="P344" s="19" t="s">
        <v>60</v>
      </c>
      <c r="Q344" s="18" t="s">
        <v>38</v>
      </c>
      <c r="R344" s="19" t="s">
        <v>294</v>
      </c>
      <c r="S344" s="19" t="s">
        <v>482</v>
      </c>
      <c r="T344" s="22">
        <v>47738.0</v>
      </c>
      <c r="U344" s="19" t="s">
        <v>33</v>
      </c>
      <c r="V344" s="19">
        <v>28527.0</v>
      </c>
      <c r="W344" s="19">
        <v>33662.0</v>
      </c>
      <c r="X344" s="19">
        <v>29604.0</v>
      </c>
      <c r="Y344" s="19">
        <v>29000.0</v>
      </c>
      <c r="Z344" s="57">
        <f t="shared" si="1"/>
        <v>4662</v>
      </c>
      <c r="AA344" s="15">
        <f t="shared" si="2"/>
        <v>-604</v>
      </c>
      <c r="AB344" s="19" t="s">
        <v>39</v>
      </c>
      <c r="AC344" s="17" t="s">
        <v>1997</v>
      </c>
    </row>
    <row r="345">
      <c r="A345" s="35">
        <v>343.0</v>
      </c>
      <c r="B345" s="37" t="s">
        <v>1986</v>
      </c>
      <c r="C345" s="35" t="s">
        <v>1998</v>
      </c>
      <c r="D345" s="35" t="s">
        <v>1999</v>
      </c>
      <c r="E345" s="37" t="s">
        <v>52</v>
      </c>
      <c r="F345" s="35" t="s">
        <v>1581</v>
      </c>
      <c r="G345" s="35" t="s">
        <v>2000</v>
      </c>
      <c r="H345" s="37">
        <v>8.98000089E9</v>
      </c>
      <c r="I345" s="37">
        <v>8.980000982E9</v>
      </c>
      <c r="J345" s="37" t="s">
        <v>33</v>
      </c>
      <c r="K345" s="37">
        <v>1600.0</v>
      </c>
      <c r="L345" s="38">
        <v>46389.0</v>
      </c>
      <c r="M345" s="37" t="s">
        <v>152</v>
      </c>
      <c r="N345" s="39" t="s">
        <v>58</v>
      </c>
      <c r="O345" s="37" t="s">
        <v>66</v>
      </c>
      <c r="P345" s="37" t="s">
        <v>60</v>
      </c>
      <c r="Q345" s="54" t="s">
        <v>38</v>
      </c>
      <c r="R345" s="37" t="s">
        <v>2001</v>
      </c>
      <c r="S345" s="43">
        <v>46144.0</v>
      </c>
      <c r="T345" s="37" t="s">
        <v>33</v>
      </c>
      <c r="U345" s="37" t="s">
        <v>33</v>
      </c>
      <c r="V345" s="41">
        <v>19442.68</v>
      </c>
      <c r="W345" s="41">
        <v>20856.0</v>
      </c>
      <c r="X345" s="37">
        <v>13413.0</v>
      </c>
      <c r="Y345" s="37">
        <v>13500.0</v>
      </c>
      <c r="Z345" s="45">
        <f t="shared" si="1"/>
        <v>7356</v>
      </c>
      <c r="AA345" s="15">
        <f t="shared" si="2"/>
        <v>87</v>
      </c>
      <c r="AB345" s="37" t="s">
        <v>39</v>
      </c>
      <c r="AC345" s="35" t="s">
        <v>2002</v>
      </c>
    </row>
    <row r="346">
      <c r="A346" s="17">
        <v>344.0</v>
      </c>
      <c r="B346" s="29" t="s">
        <v>1986</v>
      </c>
      <c r="C346" s="17" t="s">
        <v>2003</v>
      </c>
      <c r="D346" s="17" t="s">
        <v>2004</v>
      </c>
      <c r="E346" s="19" t="s">
        <v>52</v>
      </c>
      <c r="F346" s="17" t="s">
        <v>877</v>
      </c>
      <c r="G346" s="17" t="s">
        <v>2005</v>
      </c>
      <c r="H346" s="19">
        <v>9.974660295E9</v>
      </c>
      <c r="I346" s="19">
        <v>7.041760295E9</v>
      </c>
      <c r="J346" s="19" t="s">
        <v>33</v>
      </c>
      <c r="K346" s="19">
        <v>3460.0</v>
      </c>
      <c r="L346" s="19" t="s">
        <v>1606</v>
      </c>
      <c r="M346" s="19" t="s">
        <v>57</v>
      </c>
      <c r="N346" s="21" t="s">
        <v>58</v>
      </c>
      <c r="O346" s="19" t="s">
        <v>424</v>
      </c>
      <c r="P346" s="19" t="s">
        <v>60</v>
      </c>
      <c r="Q346" s="18" t="s">
        <v>38</v>
      </c>
      <c r="R346" s="25">
        <v>46671.0</v>
      </c>
      <c r="S346" s="19" t="s">
        <v>611</v>
      </c>
      <c r="T346" s="19" t="s">
        <v>2006</v>
      </c>
      <c r="U346" s="19" t="s">
        <v>33</v>
      </c>
      <c r="V346" s="23">
        <v>20628.0</v>
      </c>
      <c r="W346" s="23">
        <v>22245.0</v>
      </c>
      <c r="X346" s="19">
        <v>16433.0</v>
      </c>
      <c r="Y346" s="19">
        <v>16500.0</v>
      </c>
      <c r="Z346" s="34">
        <f t="shared" si="1"/>
        <v>5745</v>
      </c>
      <c r="AA346" s="15">
        <f t="shared" si="2"/>
        <v>67</v>
      </c>
      <c r="AB346" s="19" t="s">
        <v>39</v>
      </c>
      <c r="AC346" s="17" t="s">
        <v>2007</v>
      </c>
    </row>
    <row r="347">
      <c r="A347" s="17">
        <v>345.0</v>
      </c>
      <c r="B347" s="29" t="s">
        <v>1986</v>
      </c>
      <c r="C347" s="17" t="s">
        <v>2008</v>
      </c>
      <c r="D347" s="17" t="s">
        <v>2009</v>
      </c>
      <c r="E347" s="19" t="s">
        <v>234</v>
      </c>
      <c r="F347" s="17" t="s">
        <v>2010</v>
      </c>
      <c r="G347" s="17" t="s">
        <v>2011</v>
      </c>
      <c r="H347" s="19">
        <v>7.98417462E9</v>
      </c>
      <c r="I347" s="19" t="s">
        <v>33</v>
      </c>
      <c r="J347" s="19" t="s">
        <v>618</v>
      </c>
      <c r="K347" s="19">
        <v>1318.0</v>
      </c>
      <c r="L347" s="19" t="s">
        <v>2012</v>
      </c>
      <c r="M347" s="19" t="s">
        <v>92</v>
      </c>
      <c r="N347" s="21" t="s">
        <v>58</v>
      </c>
      <c r="O347" s="19" t="s">
        <v>36</v>
      </c>
      <c r="P347" s="19" t="s">
        <v>79</v>
      </c>
      <c r="Q347" s="18" t="s">
        <v>38</v>
      </c>
      <c r="R347" s="22">
        <v>50293.0</v>
      </c>
      <c r="S347" s="22">
        <v>45179.0</v>
      </c>
      <c r="T347" s="19" t="s">
        <v>33</v>
      </c>
      <c r="U347" s="19" t="s">
        <v>33</v>
      </c>
      <c r="V347" s="23">
        <v>2077.0</v>
      </c>
      <c r="W347" s="23">
        <v>2452.0</v>
      </c>
      <c r="X347" s="19">
        <v>2500.0</v>
      </c>
      <c r="Y347" s="19">
        <v>2500.0</v>
      </c>
      <c r="Z347" s="34">
        <f t="shared" si="1"/>
        <v>-48</v>
      </c>
      <c r="AA347" s="15">
        <f t="shared" si="2"/>
        <v>0</v>
      </c>
      <c r="AB347" s="19"/>
      <c r="AC347" s="17" t="s">
        <v>2013</v>
      </c>
    </row>
    <row r="348">
      <c r="A348" s="17">
        <v>346.0</v>
      </c>
      <c r="B348" s="29" t="s">
        <v>1986</v>
      </c>
      <c r="C348" s="17" t="s">
        <v>2014</v>
      </c>
      <c r="D348" s="17" t="s">
        <v>2015</v>
      </c>
      <c r="E348" s="19" t="s">
        <v>88</v>
      </c>
      <c r="F348" s="17" t="s">
        <v>2016</v>
      </c>
      <c r="G348" s="17" t="s">
        <v>2017</v>
      </c>
      <c r="H348" s="19">
        <v>8.3479278E9</v>
      </c>
      <c r="I348" s="19">
        <v>7.04347925E9</v>
      </c>
      <c r="J348" s="19" t="s">
        <v>33</v>
      </c>
      <c r="K348" s="19">
        <v>28000.0</v>
      </c>
      <c r="L348" s="19" t="s">
        <v>2018</v>
      </c>
      <c r="M348" s="19" t="s">
        <v>807</v>
      </c>
      <c r="N348" s="21" t="s">
        <v>58</v>
      </c>
      <c r="O348" s="19" t="s">
        <v>66</v>
      </c>
      <c r="P348" s="19" t="s">
        <v>60</v>
      </c>
      <c r="Q348" s="18" t="s">
        <v>38</v>
      </c>
      <c r="R348" s="19" t="s">
        <v>2019</v>
      </c>
      <c r="S348" s="19" t="s">
        <v>2020</v>
      </c>
      <c r="T348" s="22">
        <v>47303.0</v>
      </c>
      <c r="U348" s="19" t="s">
        <v>33</v>
      </c>
      <c r="V348" s="23">
        <v>47740.0</v>
      </c>
      <c r="W348" s="23">
        <v>50620.0</v>
      </c>
      <c r="X348" s="19">
        <v>42753.0</v>
      </c>
      <c r="Y348" s="19">
        <v>42000.0</v>
      </c>
      <c r="Z348" s="34">
        <f t="shared" si="1"/>
        <v>8620</v>
      </c>
      <c r="AA348" s="15">
        <f t="shared" si="2"/>
        <v>-753</v>
      </c>
      <c r="AB348" s="19" t="s">
        <v>39</v>
      </c>
      <c r="AC348" s="17" t="s">
        <v>2021</v>
      </c>
    </row>
    <row r="349">
      <c r="A349" s="17">
        <v>347.0</v>
      </c>
      <c r="B349" s="29" t="s">
        <v>1986</v>
      </c>
      <c r="C349" s="17" t="s">
        <v>2022</v>
      </c>
      <c r="D349" s="17" t="s">
        <v>2023</v>
      </c>
      <c r="E349" s="19" t="s">
        <v>88</v>
      </c>
      <c r="F349" s="17" t="s">
        <v>948</v>
      </c>
      <c r="G349" s="17" t="s">
        <v>2024</v>
      </c>
      <c r="H349" s="19">
        <v>9.428277711E9</v>
      </c>
      <c r="I349" s="19">
        <v>9.537704952E9</v>
      </c>
      <c r="J349" s="19" t="s">
        <v>33</v>
      </c>
      <c r="K349" s="19">
        <v>28000.0</v>
      </c>
      <c r="L349" s="19" t="s">
        <v>1913</v>
      </c>
      <c r="M349" s="19" t="s">
        <v>92</v>
      </c>
      <c r="N349" s="21" t="s">
        <v>46</v>
      </c>
      <c r="O349" s="19" t="s">
        <v>66</v>
      </c>
      <c r="P349" s="19" t="s">
        <v>79</v>
      </c>
      <c r="Q349" s="18" t="s">
        <v>38</v>
      </c>
      <c r="R349" s="19" t="s">
        <v>449</v>
      </c>
      <c r="S349" s="19" t="s">
        <v>2025</v>
      </c>
      <c r="T349" s="19" t="s">
        <v>2026</v>
      </c>
      <c r="U349" s="19" t="s">
        <v>33</v>
      </c>
      <c r="V349" s="23">
        <v>44649.0</v>
      </c>
      <c r="W349" s="23">
        <v>46972.0</v>
      </c>
      <c r="X349" s="19">
        <v>29000.0</v>
      </c>
      <c r="Y349" s="19">
        <v>27500.0</v>
      </c>
      <c r="Z349" s="34">
        <f t="shared" si="1"/>
        <v>19472</v>
      </c>
      <c r="AA349" s="15">
        <f t="shared" si="2"/>
        <v>-1500</v>
      </c>
      <c r="AB349" s="19" t="s">
        <v>39</v>
      </c>
      <c r="AC349" s="17" t="s">
        <v>2027</v>
      </c>
    </row>
    <row r="350">
      <c r="A350" s="17">
        <v>348.0</v>
      </c>
      <c r="B350" s="29" t="s">
        <v>1986</v>
      </c>
      <c r="C350" s="17" t="s">
        <v>2028</v>
      </c>
      <c r="D350" s="18">
        <v>1.00013735E9</v>
      </c>
      <c r="E350" s="19" t="s">
        <v>30</v>
      </c>
      <c r="F350" s="17" t="s">
        <v>1525</v>
      </c>
      <c r="G350" s="17" t="s">
        <v>2029</v>
      </c>
      <c r="H350" s="19">
        <v>9.879272786E9</v>
      </c>
      <c r="I350" s="19" t="s">
        <v>33</v>
      </c>
      <c r="J350" s="19" t="s">
        <v>33</v>
      </c>
      <c r="K350" s="19">
        <v>796.0</v>
      </c>
      <c r="L350" s="19" t="s">
        <v>2018</v>
      </c>
      <c r="M350" s="19" t="s">
        <v>34</v>
      </c>
      <c r="N350" s="21" t="s">
        <v>46</v>
      </c>
      <c r="O350" s="19" t="s">
        <v>153</v>
      </c>
      <c r="P350" s="19" t="s">
        <v>1492</v>
      </c>
      <c r="Q350" s="18" t="s">
        <v>38</v>
      </c>
      <c r="R350" s="19" t="s">
        <v>2030</v>
      </c>
      <c r="S350" s="19" t="s">
        <v>2031</v>
      </c>
      <c r="T350" s="19" t="s">
        <v>33</v>
      </c>
      <c r="U350" s="19" t="s">
        <v>33</v>
      </c>
      <c r="V350" s="19">
        <v>2374.0</v>
      </c>
      <c r="W350" s="23">
        <v>2801.32</v>
      </c>
      <c r="X350" s="19">
        <v>2800.0</v>
      </c>
      <c r="Y350" s="19">
        <v>2800.0</v>
      </c>
      <c r="Z350" s="34">
        <f t="shared" si="1"/>
        <v>1.32</v>
      </c>
      <c r="AA350" s="15">
        <f t="shared" si="2"/>
        <v>0</v>
      </c>
      <c r="AB350" s="19" t="s">
        <v>39</v>
      </c>
      <c r="AC350" s="17" t="s">
        <v>2032</v>
      </c>
    </row>
    <row r="351">
      <c r="A351" s="17">
        <v>349.0</v>
      </c>
      <c r="B351" s="29" t="s">
        <v>1986</v>
      </c>
      <c r="C351" s="17" t="s">
        <v>2033</v>
      </c>
      <c r="D351" s="17" t="s">
        <v>2034</v>
      </c>
      <c r="E351" s="19" t="s">
        <v>88</v>
      </c>
      <c r="F351" s="17" t="s">
        <v>2035</v>
      </c>
      <c r="G351" s="17" t="s">
        <v>2036</v>
      </c>
      <c r="H351" s="19">
        <v>9.979374474E9</v>
      </c>
      <c r="I351" s="19">
        <v>9.067593333E9</v>
      </c>
      <c r="J351" s="19" t="s">
        <v>33</v>
      </c>
      <c r="K351" s="19">
        <v>35000.0</v>
      </c>
      <c r="L351" s="19" t="s">
        <v>1913</v>
      </c>
      <c r="M351" s="19" t="s">
        <v>57</v>
      </c>
      <c r="N351" s="21" t="s">
        <v>58</v>
      </c>
      <c r="O351" s="19" t="s">
        <v>161</v>
      </c>
      <c r="P351" s="19" t="s">
        <v>60</v>
      </c>
      <c r="Q351" s="18" t="s">
        <v>38</v>
      </c>
      <c r="R351" s="22">
        <v>46084.0</v>
      </c>
      <c r="S351" s="19" t="s">
        <v>659</v>
      </c>
      <c r="T351" s="22">
        <v>47062.0</v>
      </c>
      <c r="U351" s="19" t="s">
        <v>33</v>
      </c>
      <c r="V351" s="23">
        <v>47098.0</v>
      </c>
      <c r="W351" s="24">
        <v>49851.0</v>
      </c>
      <c r="X351" s="19">
        <v>39930.0</v>
      </c>
      <c r="Y351" s="19">
        <v>39000.0</v>
      </c>
      <c r="Z351" s="58">
        <f t="shared" si="1"/>
        <v>10851</v>
      </c>
      <c r="AA351" s="15">
        <f t="shared" si="2"/>
        <v>-930</v>
      </c>
      <c r="AB351" s="19" t="s">
        <v>39</v>
      </c>
      <c r="AC351" s="17" t="s">
        <v>2037</v>
      </c>
    </row>
    <row r="352">
      <c r="A352" s="17">
        <v>350.0</v>
      </c>
      <c r="B352" s="29" t="s">
        <v>1986</v>
      </c>
      <c r="C352" s="17" t="s">
        <v>2038</v>
      </c>
      <c r="D352" s="17" t="s">
        <v>2039</v>
      </c>
      <c r="E352" s="19" t="s">
        <v>52</v>
      </c>
      <c r="F352" s="17" t="s">
        <v>276</v>
      </c>
      <c r="G352" s="17" t="s">
        <v>2040</v>
      </c>
      <c r="H352" s="19">
        <v>9.725331367E9</v>
      </c>
      <c r="I352" s="19">
        <v>9.638023978E9</v>
      </c>
      <c r="J352" s="19" t="s">
        <v>33</v>
      </c>
      <c r="K352" s="19">
        <v>2750.0</v>
      </c>
      <c r="L352" s="19" t="s">
        <v>1505</v>
      </c>
      <c r="M352" s="19" t="s">
        <v>57</v>
      </c>
      <c r="N352" s="21" t="s">
        <v>58</v>
      </c>
      <c r="O352" s="19" t="s">
        <v>66</v>
      </c>
      <c r="P352" s="19" t="s">
        <v>60</v>
      </c>
      <c r="Q352" s="18" t="s">
        <v>38</v>
      </c>
      <c r="R352" s="19" t="s">
        <v>2041</v>
      </c>
      <c r="S352" s="22">
        <v>46177.0</v>
      </c>
      <c r="T352" s="19" t="s">
        <v>33</v>
      </c>
      <c r="U352" s="19" t="s">
        <v>33</v>
      </c>
      <c r="V352" s="23">
        <v>17892.0</v>
      </c>
      <c r="W352" s="23">
        <v>19013.0</v>
      </c>
      <c r="X352" s="19">
        <v>12815.0</v>
      </c>
      <c r="Y352" s="19">
        <v>13000.0</v>
      </c>
      <c r="Z352" s="34">
        <f t="shared" si="1"/>
        <v>6013</v>
      </c>
      <c r="AA352" s="15">
        <f t="shared" si="2"/>
        <v>185</v>
      </c>
      <c r="AB352" s="19" t="s">
        <v>39</v>
      </c>
      <c r="AC352" s="17" t="s">
        <v>2042</v>
      </c>
    </row>
    <row r="353">
      <c r="A353" s="17">
        <v>351.0</v>
      </c>
      <c r="B353" s="29" t="s">
        <v>1986</v>
      </c>
      <c r="C353" s="17" t="s">
        <v>2043</v>
      </c>
      <c r="D353" s="17" t="s">
        <v>2044</v>
      </c>
      <c r="E353" s="19" t="s">
        <v>52</v>
      </c>
      <c r="F353" s="17" t="s">
        <v>1581</v>
      </c>
      <c r="G353" s="17" t="s">
        <v>2045</v>
      </c>
      <c r="H353" s="19">
        <v>9.638427444E9</v>
      </c>
      <c r="I353" s="19">
        <v>7.739426198E9</v>
      </c>
      <c r="J353" s="19" t="s">
        <v>33</v>
      </c>
      <c r="K353" s="19">
        <v>1600.0</v>
      </c>
      <c r="L353" s="19" t="s">
        <v>1505</v>
      </c>
      <c r="M353" s="19" t="s">
        <v>152</v>
      </c>
      <c r="N353" s="21" t="s">
        <v>46</v>
      </c>
      <c r="O353" s="19" t="s">
        <v>36</v>
      </c>
      <c r="P353" s="19" t="s">
        <v>60</v>
      </c>
      <c r="Q353" s="18" t="s">
        <v>38</v>
      </c>
      <c r="R353" s="22">
        <v>45881.0</v>
      </c>
      <c r="S353" s="19" t="s">
        <v>2046</v>
      </c>
      <c r="T353" s="19" t="s">
        <v>33</v>
      </c>
      <c r="U353" s="19" t="s">
        <v>33</v>
      </c>
      <c r="V353" s="23">
        <v>16534.0</v>
      </c>
      <c r="W353" s="23">
        <v>17424.0</v>
      </c>
      <c r="X353" s="19">
        <v>10500.0</v>
      </c>
      <c r="Y353" s="19">
        <v>10500.0</v>
      </c>
      <c r="Z353" s="34">
        <f t="shared" si="1"/>
        <v>6924</v>
      </c>
      <c r="AA353" s="15">
        <f t="shared" si="2"/>
        <v>0</v>
      </c>
      <c r="AB353" s="19" t="s">
        <v>39</v>
      </c>
      <c r="AC353" s="17" t="s">
        <v>2047</v>
      </c>
    </row>
    <row r="354">
      <c r="A354" s="17">
        <v>352.0</v>
      </c>
      <c r="B354" s="29" t="s">
        <v>1986</v>
      </c>
      <c r="C354" s="17" t="s">
        <v>2048</v>
      </c>
      <c r="D354" s="17" t="s">
        <v>2049</v>
      </c>
      <c r="E354" s="19" t="s">
        <v>269</v>
      </c>
      <c r="F354" s="17" t="s">
        <v>2050</v>
      </c>
      <c r="G354" s="17" t="s">
        <v>2051</v>
      </c>
      <c r="H354" s="19" t="s">
        <v>2052</v>
      </c>
      <c r="I354" s="19" t="s">
        <v>2053</v>
      </c>
      <c r="J354" s="19" t="s">
        <v>33</v>
      </c>
      <c r="K354" s="19">
        <v>11990.0</v>
      </c>
      <c r="L354" s="19" t="s">
        <v>1505</v>
      </c>
      <c r="M354" s="19" t="s">
        <v>107</v>
      </c>
      <c r="N354" s="21" t="s">
        <v>58</v>
      </c>
      <c r="O354" s="19" t="s">
        <v>496</v>
      </c>
      <c r="P354" s="19" t="s">
        <v>60</v>
      </c>
      <c r="Q354" s="18" t="s">
        <v>38</v>
      </c>
      <c r="R354" s="19" t="s">
        <v>2054</v>
      </c>
      <c r="S354" s="22">
        <v>46303.0</v>
      </c>
      <c r="T354" s="19" t="s">
        <v>2055</v>
      </c>
      <c r="U354" s="19" t="s">
        <v>33</v>
      </c>
      <c r="V354" s="23">
        <v>31544.0</v>
      </c>
      <c r="W354" s="23">
        <v>33688.0</v>
      </c>
      <c r="X354" s="19">
        <v>30500.0</v>
      </c>
      <c r="Y354" s="19">
        <v>30500.0</v>
      </c>
      <c r="Z354" s="34">
        <f t="shared" si="1"/>
        <v>3188</v>
      </c>
      <c r="AA354" s="15">
        <f t="shared" si="2"/>
        <v>0</v>
      </c>
      <c r="AB354" s="19" t="s">
        <v>39</v>
      </c>
      <c r="AC354" s="17" t="s">
        <v>2056</v>
      </c>
    </row>
    <row r="355">
      <c r="A355" s="17">
        <v>353.0</v>
      </c>
      <c r="B355" s="29" t="s">
        <v>1986</v>
      </c>
      <c r="C355" s="17" t="s">
        <v>2057</v>
      </c>
      <c r="D355" s="17" t="s">
        <v>2058</v>
      </c>
      <c r="E355" s="19" t="s">
        <v>88</v>
      </c>
      <c r="F355" s="17" t="s">
        <v>89</v>
      </c>
      <c r="G355" s="17" t="s">
        <v>2059</v>
      </c>
      <c r="H355" s="19">
        <v>9.974003597E9</v>
      </c>
      <c r="I355" s="19">
        <v>7.575810177E9</v>
      </c>
      <c r="J355" s="19" t="s">
        <v>33</v>
      </c>
      <c r="K355" s="19">
        <v>31000.0</v>
      </c>
      <c r="L355" s="19" t="s">
        <v>2018</v>
      </c>
      <c r="M355" s="19" t="s">
        <v>92</v>
      </c>
      <c r="N355" s="21" t="s">
        <v>46</v>
      </c>
      <c r="O355" s="19" t="s">
        <v>424</v>
      </c>
      <c r="P355" s="19" t="s">
        <v>79</v>
      </c>
      <c r="Q355" s="18" t="s">
        <v>38</v>
      </c>
      <c r="R355" s="19" t="s">
        <v>2060</v>
      </c>
      <c r="S355" s="22">
        <v>46297.0</v>
      </c>
      <c r="T355" s="19" t="s">
        <v>2061</v>
      </c>
      <c r="U355" s="19" t="s">
        <v>33</v>
      </c>
      <c r="V355" s="19">
        <v>44050.0</v>
      </c>
      <c r="W355" s="19">
        <v>46266.0</v>
      </c>
      <c r="X355" s="19">
        <v>29000.0</v>
      </c>
      <c r="Y355" s="19">
        <v>29000.0</v>
      </c>
      <c r="Z355" s="57">
        <f t="shared" si="1"/>
        <v>17266</v>
      </c>
      <c r="AA355" s="15">
        <f t="shared" si="2"/>
        <v>0</v>
      </c>
      <c r="AB355" s="19" t="s">
        <v>39</v>
      </c>
      <c r="AC355" s="17" t="s">
        <v>2062</v>
      </c>
    </row>
    <row r="356">
      <c r="A356" s="26">
        <v>354.0</v>
      </c>
      <c r="B356" s="19" t="s">
        <v>2063</v>
      </c>
      <c r="C356" s="17" t="s">
        <v>2064</v>
      </c>
      <c r="D356" s="17" t="s">
        <v>2065</v>
      </c>
      <c r="E356" s="19" t="s">
        <v>75</v>
      </c>
      <c r="F356" s="17" t="s">
        <v>2066</v>
      </c>
      <c r="G356" s="17" t="s">
        <v>2067</v>
      </c>
      <c r="H356" s="19" t="s">
        <v>2068</v>
      </c>
      <c r="I356" s="19">
        <v>9.978595265E9</v>
      </c>
      <c r="J356" s="19" t="s">
        <v>33</v>
      </c>
      <c r="K356" s="19">
        <v>94.0</v>
      </c>
      <c r="L356" s="19" t="s">
        <v>1058</v>
      </c>
      <c r="M356" s="19" t="s">
        <v>652</v>
      </c>
      <c r="N356" s="21" t="s">
        <v>46</v>
      </c>
      <c r="O356" s="19" t="s">
        <v>36</v>
      </c>
      <c r="P356" s="19" t="s">
        <v>1492</v>
      </c>
      <c r="Q356" s="19" t="s">
        <v>38</v>
      </c>
      <c r="R356" s="19" t="s">
        <v>2069</v>
      </c>
      <c r="S356" s="22">
        <v>46085.0</v>
      </c>
      <c r="T356" s="19" t="s">
        <v>33</v>
      </c>
      <c r="U356" s="19" t="s">
        <v>33</v>
      </c>
      <c r="V356" s="19">
        <v>714.0</v>
      </c>
      <c r="W356" s="19">
        <v>843.0</v>
      </c>
      <c r="X356" s="19">
        <v>850.0</v>
      </c>
      <c r="Y356" s="19">
        <v>850.0</v>
      </c>
      <c r="Z356" s="57">
        <f t="shared" si="1"/>
        <v>-7</v>
      </c>
      <c r="AA356" s="15">
        <f t="shared" si="2"/>
        <v>0</v>
      </c>
      <c r="AB356" s="19" t="s">
        <v>39</v>
      </c>
      <c r="AC356" s="17" t="s">
        <v>2070</v>
      </c>
    </row>
    <row r="357">
      <c r="A357" s="17">
        <v>355.0</v>
      </c>
      <c r="B357" s="19" t="s">
        <v>2063</v>
      </c>
      <c r="C357" s="17" t="s">
        <v>2071</v>
      </c>
      <c r="D357" s="17" t="s">
        <v>2072</v>
      </c>
      <c r="E357" s="19" t="s">
        <v>88</v>
      </c>
      <c r="F357" s="17" t="s">
        <v>1883</v>
      </c>
      <c r="G357" s="17" t="s">
        <v>2073</v>
      </c>
      <c r="H357" s="19">
        <v>8.0007948E9</v>
      </c>
      <c r="I357" s="19">
        <v>7.698764024E9</v>
      </c>
      <c r="J357" s="19" t="s">
        <v>33</v>
      </c>
      <c r="K357" s="19">
        <v>35000.0</v>
      </c>
      <c r="L357" s="19" t="s">
        <v>1804</v>
      </c>
      <c r="M357" s="19" t="s">
        <v>57</v>
      </c>
      <c r="N357" s="21" t="s">
        <v>58</v>
      </c>
      <c r="O357" s="19" t="s">
        <v>59</v>
      </c>
      <c r="P357" s="19" t="s">
        <v>60</v>
      </c>
      <c r="Q357" s="19" t="s">
        <v>38</v>
      </c>
      <c r="R357" s="22">
        <v>46479.0</v>
      </c>
      <c r="S357" s="22">
        <v>46114.0</v>
      </c>
      <c r="T357" s="19" t="s">
        <v>33</v>
      </c>
      <c r="U357" s="19" t="s">
        <v>33</v>
      </c>
      <c r="V357" s="23">
        <v>73711.0</v>
      </c>
      <c r="W357" s="23">
        <v>81254.0</v>
      </c>
      <c r="X357" s="19">
        <v>62490.0</v>
      </c>
      <c r="Y357" s="19">
        <v>63000.0</v>
      </c>
      <c r="Z357" s="34">
        <f t="shared" si="1"/>
        <v>18254</v>
      </c>
      <c r="AA357" s="15">
        <f t="shared" si="2"/>
        <v>510</v>
      </c>
      <c r="AB357" s="19" t="s">
        <v>39</v>
      </c>
      <c r="AC357" s="17" t="s">
        <v>2074</v>
      </c>
    </row>
    <row r="358">
      <c r="A358" s="17">
        <v>356.0</v>
      </c>
      <c r="B358" s="19" t="s">
        <v>2063</v>
      </c>
      <c r="C358" s="17" t="s">
        <v>2075</v>
      </c>
      <c r="D358" s="17" t="s">
        <v>2076</v>
      </c>
      <c r="E358" s="19" t="s">
        <v>88</v>
      </c>
      <c r="F358" s="17" t="s">
        <v>2077</v>
      </c>
      <c r="G358" s="17" t="s">
        <v>2078</v>
      </c>
      <c r="H358" s="19">
        <v>9.979311617E9</v>
      </c>
      <c r="I358" s="17">
        <v>7.862834248E9</v>
      </c>
      <c r="J358" s="19" t="s">
        <v>33</v>
      </c>
      <c r="K358" s="19">
        <v>28000.0</v>
      </c>
      <c r="L358" s="19" t="s">
        <v>1505</v>
      </c>
      <c r="M358" s="19" t="s">
        <v>152</v>
      </c>
      <c r="N358" s="21" t="s">
        <v>58</v>
      </c>
      <c r="O358" s="19" t="s">
        <v>59</v>
      </c>
      <c r="P358" s="19" t="s">
        <v>60</v>
      </c>
      <c r="Q358" s="19" t="s">
        <v>38</v>
      </c>
      <c r="R358" s="19" t="s">
        <v>2079</v>
      </c>
      <c r="S358" s="19" t="s">
        <v>2080</v>
      </c>
      <c r="T358" s="19" t="s">
        <v>2081</v>
      </c>
      <c r="U358" s="19" t="s">
        <v>33</v>
      </c>
      <c r="V358" s="23">
        <v>47268.17</v>
      </c>
      <c r="W358" s="23">
        <v>50063.0</v>
      </c>
      <c r="X358" s="19">
        <v>40456.0</v>
      </c>
      <c r="Y358" s="19">
        <v>41000.0</v>
      </c>
      <c r="Z358" s="34">
        <f t="shared" si="1"/>
        <v>9063</v>
      </c>
      <c r="AA358" s="15">
        <f t="shared" si="2"/>
        <v>544</v>
      </c>
      <c r="AB358" s="19" t="s">
        <v>39</v>
      </c>
      <c r="AC358" s="17" t="s">
        <v>2082</v>
      </c>
    </row>
    <row r="359">
      <c r="A359" s="26">
        <v>357.0</v>
      </c>
      <c r="B359" s="19" t="s">
        <v>2063</v>
      </c>
      <c r="C359" s="17" t="s">
        <v>2083</v>
      </c>
      <c r="D359" s="17" t="s">
        <v>2084</v>
      </c>
      <c r="E359" s="19" t="s">
        <v>52</v>
      </c>
      <c r="F359" s="17" t="s">
        <v>2085</v>
      </c>
      <c r="G359" s="17" t="s">
        <v>2086</v>
      </c>
      <c r="H359" s="19">
        <v>9.586897533E9</v>
      </c>
      <c r="I359" s="19">
        <v>9.104577244E9</v>
      </c>
      <c r="J359" s="19" t="s">
        <v>2087</v>
      </c>
      <c r="K359" s="19">
        <v>1630.0</v>
      </c>
      <c r="L359" s="19" t="s">
        <v>2018</v>
      </c>
      <c r="M359" s="19" t="s">
        <v>152</v>
      </c>
      <c r="N359" s="21" t="s">
        <v>58</v>
      </c>
      <c r="O359" s="19" t="s">
        <v>36</v>
      </c>
      <c r="P359" s="19" t="s">
        <v>60</v>
      </c>
      <c r="Q359" s="19" t="s">
        <v>38</v>
      </c>
      <c r="R359" s="22">
        <v>45421.0</v>
      </c>
      <c r="S359" s="19" t="s">
        <v>2088</v>
      </c>
      <c r="T359" s="19" t="s">
        <v>33</v>
      </c>
      <c r="U359" s="19" t="s">
        <v>33</v>
      </c>
      <c r="V359" s="23">
        <v>18094.26</v>
      </c>
      <c r="W359" s="23">
        <v>19265.0</v>
      </c>
      <c r="X359" s="19">
        <v>12000.0</v>
      </c>
      <c r="Y359" s="19">
        <v>12000.0</v>
      </c>
      <c r="Z359" s="34">
        <f t="shared" si="1"/>
        <v>7265</v>
      </c>
      <c r="AA359" s="15">
        <f t="shared" si="2"/>
        <v>0</v>
      </c>
      <c r="AB359" s="19" t="s">
        <v>39</v>
      </c>
      <c r="AC359" s="17" t="s">
        <v>2089</v>
      </c>
    </row>
    <row r="360">
      <c r="A360" s="17">
        <v>358.0</v>
      </c>
      <c r="B360" s="19" t="s">
        <v>2063</v>
      </c>
      <c r="C360" s="17" t="s">
        <v>2090</v>
      </c>
      <c r="D360" s="17" t="s">
        <v>2091</v>
      </c>
      <c r="E360" s="19" t="s">
        <v>167</v>
      </c>
      <c r="F360" s="17" t="s">
        <v>264</v>
      </c>
      <c r="G360" s="17" t="s">
        <v>2092</v>
      </c>
      <c r="H360" s="19" t="s">
        <v>2093</v>
      </c>
      <c r="I360" s="19">
        <v>9.97469557E9</v>
      </c>
      <c r="J360" s="19" t="s">
        <v>33</v>
      </c>
      <c r="K360" s="19">
        <v>995.0</v>
      </c>
      <c r="L360" s="19" t="s">
        <v>2018</v>
      </c>
      <c r="M360" s="19" t="s">
        <v>152</v>
      </c>
      <c r="N360" s="21" t="s">
        <v>58</v>
      </c>
      <c r="O360" s="19" t="s">
        <v>66</v>
      </c>
      <c r="P360" s="19" t="s">
        <v>60</v>
      </c>
      <c r="Q360" s="19" t="s">
        <v>38</v>
      </c>
      <c r="R360" s="19" t="s">
        <v>2094</v>
      </c>
      <c r="S360" s="19" t="s">
        <v>2095</v>
      </c>
      <c r="T360" s="19" t="s">
        <v>33</v>
      </c>
      <c r="U360" s="19" t="s">
        <v>33</v>
      </c>
      <c r="V360" s="23">
        <v>5097.8</v>
      </c>
      <c r="W360" s="23">
        <v>5431.0</v>
      </c>
      <c r="X360" s="19">
        <v>5000.0</v>
      </c>
      <c r="Y360" s="19">
        <v>5000.0</v>
      </c>
      <c r="Z360" s="34">
        <f t="shared" si="1"/>
        <v>431</v>
      </c>
      <c r="AA360" s="15">
        <f t="shared" si="2"/>
        <v>0</v>
      </c>
      <c r="AB360" s="19" t="s">
        <v>39</v>
      </c>
      <c r="AC360" s="17" t="s">
        <v>2096</v>
      </c>
    </row>
    <row r="361">
      <c r="A361" s="17">
        <v>359.0</v>
      </c>
      <c r="B361" s="19" t="s">
        <v>2063</v>
      </c>
      <c r="C361" s="17" t="s">
        <v>2097</v>
      </c>
      <c r="D361" s="17" t="s">
        <v>2098</v>
      </c>
      <c r="E361" s="19" t="s">
        <v>410</v>
      </c>
      <c r="F361" s="17" t="s">
        <v>2099</v>
      </c>
      <c r="G361" s="17" t="s">
        <v>2100</v>
      </c>
      <c r="H361" s="19">
        <v>9.913772111E9</v>
      </c>
      <c r="I361" s="19">
        <v>7.069272111E9</v>
      </c>
      <c r="J361" s="19" t="s">
        <v>33</v>
      </c>
      <c r="K361" s="19">
        <v>1493.0</v>
      </c>
      <c r="L361" s="19" t="s">
        <v>2018</v>
      </c>
      <c r="M361" s="19" t="s">
        <v>107</v>
      </c>
      <c r="N361" s="21" t="s">
        <v>46</v>
      </c>
      <c r="O361" s="19" t="s">
        <v>93</v>
      </c>
      <c r="P361" s="19" t="s">
        <v>60</v>
      </c>
      <c r="Q361" s="19" t="s">
        <v>38</v>
      </c>
      <c r="R361" s="19" t="s">
        <v>2031</v>
      </c>
      <c r="S361" s="22">
        <v>45394.0</v>
      </c>
      <c r="T361" s="19" t="s">
        <v>2101</v>
      </c>
      <c r="U361" s="19" t="s">
        <v>33</v>
      </c>
      <c r="V361" s="19">
        <v>14173.0</v>
      </c>
      <c r="W361" s="19">
        <v>16725.0</v>
      </c>
      <c r="X361" s="19">
        <v>16352.0</v>
      </c>
      <c r="Y361" s="19">
        <v>16000.0</v>
      </c>
      <c r="Z361" s="57">
        <f t="shared" si="1"/>
        <v>725</v>
      </c>
      <c r="AA361" s="15">
        <f t="shared" si="2"/>
        <v>-352</v>
      </c>
      <c r="AB361" s="19" t="s">
        <v>39</v>
      </c>
      <c r="AC361" s="17" t="s">
        <v>2102</v>
      </c>
    </row>
    <row r="362">
      <c r="A362" s="17">
        <v>360.0</v>
      </c>
      <c r="B362" s="19" t="s">
        <v>2063</v>
      </c>
      <c r="C362" s="17" t="s">
        <v>2103</v>
      </c>
      <c r="D362" s="17" t="s">
        <v>2104</v>
      </c>
      <c r="E362" s="19" t="s">
        <v>30</v>
      </c>
      <c r="F362" s="17" t="s">
        <v>2105</v>
      </c>
      <c r="G362" s="17" t="s">
        <v>2106</v>
      </c>
      <c r="H362" s="19" t="s">
        <v>2107</v>
      </c>
      <c r="I362" s="19">
        <v>8.769098233E9</v>
      </c>
      <c r="J362" s="19" t="s">
        <v>357</v>
      </c>
      <c r="K362" s="19">
        <v>1396.0</v>
      </c>
      <c r="L362" s="19" t="s">
        <v>2018</v>
      </c>
      <c r="M362" s="19" t="s">
        <v>152</v>
      </c>
      <c r="N362" s="21" t="s">
        <v>46</v>
      </c>
      <c r="O362" s="19" t="s">
        <v>119</v>
      </c>
      <c r="P362" s="19" t="s">
        <v>60</v>
      </c>
      <c r="Q362" s="19" t="s">
        <v>38</v>
      </c>
      <c r="R362" s="19" t="s">
        <v>441</v>
      </c>
      <c r="S362" s="19" t="s">
        <v>2108</v>
      </c>
      <c r="T362" s="19" t="s">
        <v>33</v>
      </c>
      <c r="U362" s="19" t="s">
        <v>33</v>
      </c>
      <c r="V362" s="19">
        <v>4041.0</v>
      </c>
      <c r="W362" s="19">
        <v>4768.0</v>
      </c>
      <c r="X362" s="19">
        <v>4800.0</v>
      </c>
      <c r="Y362" s="19">
        <v>4800.0</v>
      </c>
      <c r="Z362" s="57">
        <f t="shared" si="1"/>
        <v>-32</v>
      </c>
      <c r="AA362" s="15">
        <f t="shared" si="2"/>
        <v>0</v>
      </c>
      <c r="AB362" s="19" t="s">
        <v>39</v>
      </c>
      <c r="AC362" s="17" t="s">
        <v>2109</v>
      </c>
    </row>
    <row r="363">
      <c r="A363" s="17">
        <v>361.0</v>
      </c>
      <c r="B363" s="19" t="s">
        <v>2063</v>
      </c>
      <c r="C363" s="17" t="s">
        <v>2110</v>
      </c>
      <c r="D363" s="17" t="s">
        <v>2111</v>
      </c>
      <c r="E363" s="19" t="s">
        <v>88</v>
      </c>
      <c r="F363" s="17" t="s">
        <v>1485</v>
      </c>
      <c r="G363" s="17" t="s">
        <v>2112</v>
      </c>
      <c r="H363" s="19">
        <v>8.181838381E9</v>
      </c>
      <c r="I363" s="19">
        <v>8.15408343E9</v>
      </c>
      <c r="J363" s="19" t="s">
        <v>2113</v>
      </c>
      <c r="K363" s="19">
        <v>28000.0</v>
      </c>
      <c r="L363" s="19" t="s">
        <v>2018</v>
      </c>
      <c r="M363" s="19" t="s">
        <v>92</v>
      </c>
      <c r="N363" s="21" t="s">
        <v>46</v>
      </c>
      <c r="O363" s="19" t="s">
        <v>209</v>
      </c>
      <c r="P363" s="19" t="s">
        <v>971</v>
      </c>
      <c r="Q363" s="19" t="s">
        <v>38</v>
      </c>
      <c r="R363" s="19" t="s">
        <v>2114</v>
      </c>
      <c r="S363" s="19" t="s">
        <v>2115</v>
      </c>
      <c r="T363" s="19" t="s">
        <v>2116</v>
      </c>
      <c r="U363" s="19" t="s">
        <v>33</v>
      </c>
      <c r="V363" s="19">
        <v>44649.0</v>
      </c>
      <c r="W363" s="19">
        <v>46972.0</v>
      </c>
      <c r="X363" s="19">
        <v>29000.0</v>
      </c>
      <c r="Y363" s="19">
        <v>29000.0</v>
      </c>
      <c r="Z363" s="57">
        <f t="shared" si="1"/>
        <v>17972</v>
      </c>
      <c r="AA363" s="15">
        <f t="shared" si="2"/>
        <v>0</v>
      </c>
      <c r="AB363" s="19" t="s">
        <v>39</v>
      </c>
      <c r="AC363" s="17" t="s">
        <v>2117</v>
      </c>
    </row>
    <row r="364">
      <c r="A364" s="17">
        <v>362.0</v>
      </c>
      <c r="B364" s="19" t="s">
        <v>2063</v>
      </c>
      <c r="C364" s="17" t="s">
        <v>2118</v>
      </c>
      <c r="D364" s="17" t="s">
        <v>2119</v>
      </c>
      <c r="E364" s="19" t="s">
        <v>269</v>
      </c>
      <c r="F364" s="17" t="s">
        <v>1155</v>
      </c>
      <c r="G364" s="17" t="s">
        <v>2120</v>
      </c>
      <c r="H364" s="19">
        <v>9.825383466E9</v>
      </c>
      <c r="I364" s="19">
        <v>9.898000254E9</v>
      </c>
      <c r="J364" s="19" t="s">
        <v>33</v>
      </c>
      <c r="K364" s="19">
        <v>11990.0</v>
      </c>
      <c r="L364" s="19" t="s">
        <v>2018</v>
      </c>
      <c r="M364" s="19" t="s">
        <v>92</v>
      </c>
      <c r="N364" s="21" t="s">
        <v>58</v>
      </c>
      <c r="O364" s="19" t="s">
        <v>153</v>
      </c>
      <c r="P364" s="19" t="s">
        <v>79</v>
      </c>
      <c r="Q364" s="19" t="s">
        <v>38</v>
      </c>
      <c r="R364" s="22">
        <v>46509.0</v>
      </c>
      <c r="S364" s="22">
        <v>46243.0</v>
      </c>
      <c r="T364" s="22">
        <v>47240.0</v>
      </c>
      <c r="U364" s="19" t="s">
        <v>33</v>
      </c>
      <c r="V364" s="23">
        <v>31829.0</v>
      </c>
      <c r="W364" s="23">
        <v>34024.0</v>
      </c>
      <c r="X364" s="19">
        <v>28822.0</v>
      </c>
      <c r="Y364" s="24">
        <v>30000.0</v>
      </c>
      <c r="Z364" s="34">
        <f t="shared" si="1"/>
        <v>4024</v>
      </c>
      <c r="AA364" s="15">
        <f t="shared" si="2"/>
        <v>1178</v>
      </c>
      <c r="AB364" s="19" t="s">
        <v>39</v>
      </c>
      <c r="AC364" s="17" t="s">
        <v>2121</v>
      </c>
    </row>
    <row r="365">
      <c r="A365" s="17">
        <v>363.0</v>
      </c>
      <c r="B365" s="19" t="s">
        <v>2063</v>
      </c>
      <c r="C365" s="17" t="s">
        <v>2122</v>
      </c>
      <c r="D365" s="17" t="s">
        <v>2123</v>
      </c>
      <c r="E365" s="19" t="s">
        <v>52</v>
      </c>
      <c r="F365" s="17" t="s">
        <v>2124</v>
      </c>
      <c r="G365" s="17" t="s">
        <v>2125</v>
      </c>
      <c r="H365" s="19">
        <v>7.046000051E9</v>
      </c>
      <c r="I365" s="19">
        <v>9.904744456E9</v>
      </c>
      <c r="J365" s="19" t="s">
        <v>33</v>
      </c>
      <c r="K365" s="19">
        <v>3490.0</v>
      </c>
      <c r="L365" s="19" t="s">
        <v>1606</v>
      </c>
      <c r="M365" s="19" t="s">
        <v>92</v>
      </c>
      <c r="N365" s="21" t="s">
        <v>58</v>
      </c>
      <c r="O365" s="19" t="s">
        <v>66</v>
      </c>
      <c r="P365" s="19" t="s">
        <v>60</v>
      </c>
      <c r="Q365" s="19" t="s">
        <v>860</v>
      </c>
      <c r="R365" s="19" t="s">
        <v>2126</v>
      </c>
      <c r="S365" s="19" t="s">
        <v>425</v>
      </c>
      <c r="T365" s="19" t="s">
        <v>2127</v>
      </c>
      <c r="U365" s="19" t="s">
        <v>33</v>
      </c>
      <c r="V365" s="23">
        <v>21564.0</v>
      </c>
      <c r="W365" s="23">
        <v>23359.0</v>
      </c>
      <c r="X365" s="19">
        <v>14430.0</v>
      </c>
      <c r="Y365" s="19">
        <v>14500.0</v>
      </c>
      <c r="Z365" s="34">
        <f t="shared" si="1"/>
        <v>8859</v>
      </c>
      <c r="AA365" s="15">
        <f t="shared" si="2"/>
        <v>70</v>
      </c>
      <c r="AB365" s="19" t="s">
        <v>39</v>
      </c>
      <c r="AC365" s="17" t="s">
        <v>2128</v>
      </c>
    </row>
    <row r="366">
      <c r="A366" s="17">
        <v>364.0</v>
      </c>
      <c r="B366" s="19" t="s">
        <v>2063</v>
      </c>
      <c r="C366" s="17" t="s">
        <v>2129</v>
      </c>
      <c r="D366" s="18" t="s">
        <v>2130</v>
      </c>
      <c r="E366" s="19" t="s">
        <v>75</v>
      </c>
      <c r="F366" s="17" t="s">
        <v>2131</v>
      </c>
      <c r="G366" s="17" t="s">
        <v>2132</v>
      </c>
      <c r="H366" s="19">
        <v>9.727353474E10</v>
      </c>
      <c r="I366" s="19" t="s">
        <v>33</v>
      </c>
      <c r="J366" s="19" t="s">
        <v>33</v>
      </c>
      <c r="K366" s="19">
        <v>222.0</v>
      </c>
      <c r="L366" s="19" t="s">
        <v>2018</v>
      </c>
      <c r="M366" s="19" t="s">
        <v>189</v>
      </c>
      <c r="N366" s="21" t="s">
        <v>46</v>
      </c>
      <c r="O366" s="19" t="s">
        <v>36</v>
      </c>
      <c r="P366" s="19" t="s">
        <v>1492</v>
      </c>
      <c r="Q366" s="19" t="s">
        <v>38</v>
      </c>
      <c r="R366" s="19" t="s">
        <v>2133</v>
      </c>
      <c r="S366" s="19" t="s">
        <v>1139</v>
      </c>
      <c r="T366" s="19" t="s">
        <v>33</v>
      </c>
      <c r="U366" s="19" t="s">
        <v>33</v>
      </c>
      <c r="V366" s="19">
        <v>1366.0</v>
      </c>
      <c r="W366" s="19">
        <v>1612.0</v>
      </c>
      <c r="X366" s="19">
        <v>1600.0</v>
      </c>
      <c r="Y366" s="19">
        <v>1600.0</v>
      </c>
      <c r="Z366" s="57">
        <f t="shared" si="1"/>
        <v>12</v>
      </c>
      <c r="AA366" s="15">
        <f t="shared" si="2"/>
        <v>0</v>
      </c>
      <c r="AB366" s="19" t="s">
        <v>39</v>
      </c>
      <c r="AC366" s="17" t="s">
        <v>2134</v>
      </c>
    </row>
    <row r="367">
      <c r="A367" s="17">
        <v>365.0</v>
      </c>
      <c r="B367" s="19" t="s">
        <v>2063</v>
      </c>
      <c r="C367" s="17" t="s">
        <v>2135</v>
      </c>
      <c r="D367" s="17" t="s">
        <v>2136</v>
      </c>
      <c r="E367" s="19" t="s">
        <v>30</v>
      </c>
      <c r="F367" s="17" t="s">
        <v>2137</v>
      </c>
      <c r="G367" s="17" t="s">
        <v>2138</v>
      </c>
      <c r="H367" s="19" t="s">
        <v>2139</v>
      </c>
      <c r="I367" s="19" t="s">
        <v>2140</v>
      </c>
      <c r="J367" s="19" t="s">
        <v>33</v>
      </c>
      <c r="K367" s="19">
        <v>2197.0</v>
      </c>
      <c r="L367" s="19" t="s">
        <v>2018</v>
      </c>
      <c r="M367" s="19" t="s">
        <v>152</v>
      </c>
      <c r="N367" s="21" t="s">
        <v>46</v>
      </c>
      <c r="O367" s="19" t="s">
        <v>36</v>
      </c>
      <c r="P367" s="19" t="s">
        <v>60</v>
      </c>
      <c r="Q367" s="19" t="s">
        <v>38</v>
      </c>
      <c r="R367" s="22">
        <v>49280.0</v>
      </c>
      <c r="S367" s="25">
        <v>45972.0</v>
      </c>
      <c r="T367" s="19" t="s">
        <v>33</v>
      </c>
      <c r="U367" s="19" t="s">
        <v>33</v>
      </c>
      <c r="V367" s="19">
        <v>7947.0</v>
      </c>
      <c r="W367" s="19">
        <v>9377.0</v>
      </c>
      <c r="X367" s="19">
        <v>9300.0</v>
      </c>
      <c r="Y367" s="19">
        <v>9300.0</v>
      </c>
      <c r="Z367" s="57">
        <f t="shared" si="1"/>
        <v>77</v>
      </c>
      <c r="AA367" s="15">
        <f t="shared" si="2"/>
        <v>0</v>
      </c>
      <c r="AB367" s="19" t="s">
        <v>39</v>
      </c>
      <c r="AC367" s="17" t="s">
        <v>2141</v>
      </c>
    </row>
    <row r="368">
      <c r="A368" s="35">
        <v>366.0</v>
      </c>
      <c r="B368" s="37" t="s">
        <v>2063</v>
      </c>
      <c r="C368" s="35" t="s">
        <v>2142</v>
      </c>
      <c r="D368" s="35" t="s">
        <v>2143</v>
      </c>
      <c r="E368" s="37" t="s">
        <v>30</v>
      </c>
      <c r="F368" s="35" t="s">
        <v>2144</v>
      </c>
      <c r="G368" s="35" t="s">
        <v>2145</v>
      </c>
      <c r="H368" s="37" t="s">
        <v>542</v>
      </c>
      <c r="I368" s="37" t="s">
        <v>33</v>
      </c>
      <c r="J368" s="37" t="s">
        <v>33</v>
      </c>
      <c r="K368" s="37">
        <v>2523.0</v>
      </c>
      <c r="L368" s="37" t="s">
        <v>2018</v>
      </c>
      <c r="M368" s="37" t="s">
        <v>619</v>
      </c>
      <c r="N368" s="39" t="s">
        <v>58</v>
      </c>
      <c r="O368" s="37" t="s">
        <v>66</v>
      </c>
      <c r="P368" s="37" t="s">
        <v>60</v>
      </c>
      <c r="Q368" s="37" t="s">
        <v>38</v>
      </c>
      <c r="R368" s="43">
        <v>46089.0</v>
      </c>
      <c r="S368" s="37" t="s">
        <v>2108</v>
      </c>
      <c r="T368" s="37" t="s">
        <v>33</v>
      </c>
      <c r="U368" s="37" t="s">
        <v>33</v>
      </c>
      <c r="V368" s="37">
        <v>9582.0</v>
      </c>
      <c r="W368" s="37">
        <v>11306.0</v>
      </c>
      <c r="X368" s="37">
        <v>11306.0</v>
      </c>
      <c r="Y368" s="37">
        <v>11306.0</v>
      </c>
      <c r="Z368" s="44">
        <f t="shared" si="1"/>
        <v>0</v>
      </c>
      <c r="AA368" s="15">
        <f t="shared" si="2"/>
        <v>0</v>
      </c>
      <c r="AB368" s="37" t="s">
        <v>39</v>
      </c>
      <c r="AC368" s="35" t="s">
        <v>2146</v>
      </c>
    </row>
    <row r="369">
      <c r="A369" s="17">
        <v>367.0</v>
      </c>
      <c r="B369" s="19" t="s">
        <v>2063</v>
      </c>
      <c r="C369" s="17" t="s">
        <v>2147</v>
      </c>
      <c r="D369" s="17" t="s">
        <v>2148</v>
      </c>
      <c r="E369" s="19" t="s">
        <v>52</v>
      </c>
      <c r="F369" s="17" t="s">
        <v>850</v>
      </c>
      <c r="G369" s="17" t="s">
        <v>2149</v>
      </c>
      <c r="H369" s="19" t="s">
        <v>2150</v>
      </c>
      <c r="I369" s="19" t="s">
        <v>2151</v>
      </c>
      <c r="J369" s="19" t="s">
        <v>33</v>
      </c>
      <c r="K369" s="19">
        <v>2735.0</v>
      </c>
      <c r="L369" s="19" t="s">
        <v>2018</v>
      </c>
      <c r="M369" s="19" t="s">
        <v>57</v>
      </c>
      <c r="N369" s="21" t="s">
        <v>58</v>
      </c>
      <c r="O369" s="19" t="s">
        <v>491</v>
      </c>
      <c r="P369" s="19" t="s">
        <v>79</v>
      </c>
      <c r="Q369" s="19" t="s">
        <v>38</v>
      </c>
      <c r="R369" s="22">
        <v>46570.0</v>
      </c>
      <c r="S369" s="22">
        <v>46205.0</v>
      </c>
      <c r="T369" s="19" t="s">
        <v>33</v>
      </c>
      <c r="U369" s="19" t="s">
        <v>33</v>
      </c>
      <c r="V369" s="23">
        <v>21309.0</v>
      </c>
      <c r="W369" s="23">
        <v>23047.0</v>
      </c>
      <c r="X369" s="19">
        <v>15445.0</v>
      </c>
      <c r="Y369" s="19">
        <v>15500.0</v>
      </c>
      <c r="Z369" s="34">
        <f t="shared" si="1"/>
        <v>7547</v>
      </c>
      <c r="AA369" s="15">
        <f t="shared" si="2"/>
        <v>55</v>
      </c>
      <c r="AB369" s="19" t="s">
        <v>39</v>
      </c>
      <c r="AC369" s="17" t="s">
        <v>2152</v>
      </c>
    </row>
    <row r="370">
      <c r="A370" s="17">
        <v>368.0</v>
      </c>
      <c r="B370" s="19" t="s">
        <v>2063</v>
      </c>
      <c r="C370" s="17" t="s">
        <v>2153</v>
      </c>
      <c r="D370" s="17" t="s">
        <v>2154</v>
      </c>
      <c r="E370" s="19" t="s">
        <v>52</v>
      </c>
      <c r="F370" s="17" t="s">
        <v>2155</v>
      </c>
      <c r="G370" s="17" t="s">
        <v>2156</v>
      </c>
      <c r="H370" s="19">
        <v>9.979949432E9</v>
      </c>
      <c r="I370" s="19" t="s">
        <v>33</v>
      </c>
      <c r="J370" s="19" t="s">
        <v>33</v>
      </c>
      <c r="K370" s="19">
        <v>2820.0</v>
      </c>
      <c r="L370" s="19" t="s">
        <v>1606</v>
      </c>
      <c r="M370" s="19" t="s">
        <v>839</v>
      </c>
      <c r="N370" s="21" t="s">
        <v>46</v>
      </c>
      <c r="O370" s="19" t="s">
        <v>431</v>
      </c>
      <c r="P370" s="19" t="s">
        <v>60</v>
      </c>
      <c r="Q370" s="19" t="s">
        <v>38</v>
      </c>
      <c r="R370" s="19" t="s">
        <v>940</v>
      </c>
      <c r="S370" s="22">
        <v>46300.0</v>
      </c>
      <c r="T370" s="19" t="s">
        <v>33</v>
      </c>
      <c r="U370" s="19" t="s">
        <v>33</v>
      </c>
      <c r="V370" s="23">
        <v>16479.0</v>
      </c>
      <c r="W370" s="23">
        <v>17359.0</v>
      </c>
      <c r="X370" s="19">
        <v>11500.0</v>
      </c>
      <c r="Y370" s="19">
        <v>11000.0</v>
      </c>
      <c r="Z370" s="34">
        <f t="shared" si="1"/>
        <v>6359</v>
      </c>
      <c r="AA370" s="15">
        <f t="shared" si="2"/>
        <v>-500</v>
      </c>
      <c r="AB370" s="19" t="s">
        <v>39</v>
      </c>
      <c r="AC370" s="17" t="s">
        <v>2157</v>
      </c>
    </row>
    <row r="371">
      <c r="A371" s="17">
        <v>369.0</v>
      </c>
      <c r="B371" s="19" t="s">
        <v>2063</v>
      </c>
      <c r="C371" s="17" t="s">
        <v>2158</v>
      </c>
      <c r="D371" s="17" t="s">
        <v>2159</v>
      </c>
      <c r="E371" s="19" t="s">
        <v>88</v>
      </c>
      <c r="F371" s="17" t="s">
        <v>2160</v>
      </c>
      <c r="G371" s="17" t="s">
        <v>2161</v>
      </c>
      <c r="H371" s="19">
        <v>9.558188881E9</v>
      </c>
      <c r="I371" s="19">
        <v>9.998750097E9</v>
      </c>
      <c r="J371" s="19" t="s">
        <v>33</v>
      </c>
      <c r="K371" s="19">
        <v>35000.0</v>
      </c>
      <c r="L371" s="19" t="s">
        <v>1804</v>
      </c>
      <c r="M371" s="19" t="s">
        <v>591</v>
      </c>
      <c r="N371" s="21" t="s">
        <v>58</v>
      </c>
      <c r="O371" s="19" t="s">
        <v>424</v>
      </c>
      <c r="P371" s="19" t="s">
        <v>1492</v>
      </c>
      <c r="Q371" s="19" t="s">
        <v>38</v>
      </c>
      <c r="R371" s="19" t="s">
        <v>2162</v>
      </c>
      <c r="S371" s="19" t="s">
        <v>2163</v>
      </c>
      <c r="T371" s="22">
        <v>47579.0</v>
      </c>
      <c r="U371" s="19" t="s">
        <v>33</v>
      </c>
      <c r="V371" s="23">
        <v>49288.0</v>
      </c>
      <c r="W371" s="23">
        <v>52446.34</v>
      </c>
      <c r="X371" s="19">
        <v>41500.0</v>
      </c>
      <c r="Y371" s="19">
        <v>42000.0</v>
      </c>
      <c r="Z371" s="34">
        <f t="shared" si="1"/>
        <v>10446.34</v>
      </c>
      <c r="AA371" s="15">
        <f t="shared" si="2"/>
        <v>500</v>
      </c>
      <c r="AB371" s="19" t="s">
        <v>39</v>
      </c>
      <c r="AC371" s="17" t="s">
        <v>2164</v>
      </c>
    </row>
    <row r="372">
      <c r="A372" s="17">
        <v>370.0</v>
      </c>
      <c r="B372" s="19" t="s">
        <v>2063</v>
      </c>
      <c r="C372" s="17" t="s">
        <v>2165</v>
      </c>
      <c r="D372" s="17" t="s">
        <v>2166</v>
      </c>
      <c r="E372" s="19" t="s">
        <v>52</v>
      </c>
      <c r="F372" s="17" t="s">
        <v>53</v>
      </c>
      <c r="G372" s="17" t="s">
        <v>2167</v>
      </c>
      <c r="H372" s="19" t="s">
        <v>2168</v>
      </c>
      <c r="I372" s="19" t="s">
        <v>2169</v>
      </c>
      <c r="J372" s="19" t="s">
        <v>33</v>
      </c>
      <c r="K372" s="19">
        <v>2620.0</v>
      </c>
      <c r="L372" s="19" t="s">
        <v>1505</v>
      </c>
      <c r="M372" s="19" t="s">
        <v>57</v>
      </c>
      <c r="N372" s="21" t="s">
        <v>58</v>
      </c>
      <c r="O372" s="19" t="s">
        <v>491</v>
      </c>
      <c r="P372" s="19" t="s">
        <v>60</v>
      </c>
      <c r="Q372" s="19" t="s">
        <v>38</v>
      </c>
      <c r="R372" s="22">
        <v>46662.0</v>
      </c>
      <c r="S372" s="19" t="s">
        <v>964</v>
      </c>
      <c r="T372" s="19" t="s">
        <v>33</v>
      </c>
      <c r="U372" s="19" t="s">
        <v>33</v>
      </c>
      <c r="V372" s="23">
        <v>17845.0</v>
      </c>
      <c r="W372" s="23">
        <v>18958.0</v>
      </c>
      <c r="X372" s="19">
        <v>12776.0</v>
      </c>
      <c r="Y372" s="19">
        <v>12500.0</v>
      </c>
      <c r="Z372" s="34">
        <f t="shared" si="1"/>
        <v>6458</v>
      </c>
      <c r="AA372" s="15">
        <f t="shared" si="2"/>
        <v>-276</v>
      </c>
      <c r="AB372" s="19" t="s">
        <v>39</v>
      </c>
      <c r="AC372" s="17" t="s">
        <v>2170</v>
      </c>
    </row>
    <row r="373">
      <c r="A373" s="26">
        <v>371.0</v>
      </c>
      <c r="B373" s="19" t="s">
        <v>2171</v>
      </c>
      <c r="C373" s="17" t="s">
        <v>2172</v>
      </c>
      <c r="D373" s="17" t="s">
        <v>2173</v>
      </c>
      <c r="E373" s="19" t="s">
        <v>30</v>
      </c>
      <c r="F373" s="17" t="s">
        <v>2174</v>
      </c>
      <c r="G373" s="17" t="s">
        <v>2175</v>
      </c>
      <c r="H373" s="19">
        <v>9.601311101E9</v>
      </c>
      <c r="I373" s="19">
        <v>7.600313863E9</v>
      </c>
      <c r="J373" s="19" t="s">
        <v>33</v>
      </c>
      <c r="K373" s="19">
        <v>1197.0</v>
      </c>
      <c r="L373" s="19" t="s">
        <v>1804</v>
      </c>
      <c r="M373" s="19" t="s">
        <v>839</v>
      </c>
      <c r="N373" s="21" t="s">
        <v>46</v>
      </c>
      <c r="O373" s="19" t="s">
        <v>129</v>
      </c>
      <c r="P373" s="19" t="s">
        <v>60</v>
      </c>
      <c r="Q373" s="19" t="s">
        <v>38</v>
      </c>
      <c r="R373" s="22">
        <v>49101.0</v>
      </c>
      <c r="S373" s="25">
        <v>45972.0</v>
      </c>
      <c r="T373" s="19" t="s">
        <v>33</v>
      </c>
      <c r="U373" s="19" t="s">
        <v>33</v>
      </c>
      <c r="V373" s="23">
        <v>4106.0</v>
      </c>
      <c r="W373" s="23">
        <v>4845.0</v>
      </c>
      <c r="X373" s="19">
        <v>4800.0</v>
      </c>
      <c r="Y373" s="19">
        <v>4800.0</v>
      </c>
      <c r="Z373" s="34">
        <f t="shared" si="1"/>
        <v>45</v>
      </c>
      <c r="AA373" s="15">
        <f t="shared" si="2"/>
        <v>0</v>
      </c>
      <c r="AB373" s="19" t="s">
        <v>39</v>
      </c>
      <c r="AC373" s="17" t="s">
        <v>2176</v>
      </c>
    </row>
    <row r="374">
      <c r="A374" s="17">
        <v>372.0</v>
      </c>
      <c r="B374" s="19" t="s">
        <v>2171</v>
      </c>
      <c r="C374" s="17" t="s">
        <v>2177</v>
      </c>
      <c r="D374" s="17" t="s">
        <v>2178</v>
      </c>
      <c r="E374" s="19" t="s">
        <v>88</v>
      </c>
      <c r="F374" s="17" t="s">
        <v>1785</v>
      </c>
      <c r="G374" s="17" t="s">
        <v>2179</v>
      </c>
      <c r="H374" s="19">
        <v>9.925112789E9</v>
      </c>
      <c r="I374" s="19">
        <v>7.016331195E9</v>
      </c>
      <c r="J374" s="19" t="s">
        <v>33</v>
      </c>
      <c r="K374" s="19">
        <v>42000.0</v>
      </c>
      <c r="L374" s="19" t="s">
        <v>1606</v>
      </c>
      <c r="M374" s="19" t="s">
        <v>107</v>
      </c>
      <c r="N374" s="21" t="s">
        <v>58</v>
      </c>
      <c r="O374" s="19" t="s">
        <v>66</v>
      </c>
      <c r="P374" s="19" t="s">
        <v>60</v>
      </c>
      <c r="Q374" s="19" t="s">
        <v>38</v>
      </c>
      <c r="R374" s="22">
        <v>46215.0</v>
      </c>
      <c r="S374" s="19" t="s">
        <v>2180</v>
      </c>
      <c r="T374" s="22">
        <v>47575.0</v>
      </c>
      <c r="U374" s="19" t="s">
        <v>33</v>
      </c>
      <c r="V374" s="19">
        <v>48736.0</v>
      </c>
      <c r="W374" s="19">
        <v>51757.0</v>
      </c>
      <c r="X374" s="19">
        <v>44098.0</v>
      </c>
      <c r="Y374" s="19">
        <v>44000.0</v>
      </c>
      <c r="Z374" s="57">
        <f t="shared" si="1"/>
        <v>7757</v>
      </c>
      <c r="AA374" s="15">
        <f t="shared" si="2"/>
        <v>-98</v>
      </c>
      <c r="AB374" s="19" t="s">
        <v>39</v>
      </c>
      <c r="AC374" s="17" t="s">
        <v>2181</v>
      </c>
    </row>
    <row r="375">
      <c r="A375" s="17">
        <v>373.0</v>
      </c>
      <c r="B375" s="19" t="s">
        <v>2171</v>
      </c>
      <c r="C375" s="17" t="s">
        <v>2182</v>
      </c>
      <c r="D375" s="17" t="s">
        <v>2183</v>
      </c>
      <c r="E375" s="19" t="s">
        <v>102</v>
      </c>
      <c r="F375" s="17" t="s">
        <v>111</v>
      </c>
      <c r="G375" s="17" t="s">
        <v>2184</v>
      </c>
      <c r="H375" s="19">
        <v>8.401174982E9</v>
      </c>
      <c r="I375" s="19">
        <v>9.601435883E9</v>
      </c>
      <c r="J375" s="19" t="s">
        <v>105</v>
      </c>
      <c r="K375" s="19">
        <v>818.0</v>
      </c>
      <c r="L375" s="19" t="s">
        <v>1804</v>
      </c>
      <c r="M375" s="19" t="s">
        <v>107</v>
      </c>
      <c r="N375" s="21" t="s">
        <v>58</v>
      </c>
      <c r="O375" s="19" t="s">
        <v>66</v>
      </c>
      <c r="P375" s="19" t="s">
        <v>60</v>
      </c>
      <c r="Q375" s="19" t="s">
        <v>38</v>
      </c>
      <c r="R375" s="22">
        <v>46785.0</v>
      </c>
      <c r="S375" s="19" t="s">
        <v>448</v>
      </c>
      <c r="T375" s="19" t="s">
        <v>2185</v>
      </c>
      <c r="U375" s="19" t="s">
        <v>33</v>
      </c>
      <c r="V375" s="19">
        <v>6659.0</v>
      </c>
      <c r="W375" s="19">
        <v>7858.0</v>
      </c>
      <c r="X375" s="19">
        <v>6500.0</v>
      </c>
      <c r="Y375" s="19">
        <v>6000.0</v>
      </c>
      <c r="Z375" s="57">
        <f t="shared" si="1"/>
        <v>1858</v>
      </c>
      <c r="AA375" s="15">
        <f t="shared" si="2"/>
        <v>-500</v>
      </c>
      <c r="AB375" s="19" t="s">
        <v>39</v>
      </c>
      <c r="AC375" s="17" t="s">
        <v>2186</v>
      </c>
    </row>
    <row r="376">
      <c r="A376" s="17">
        <v>374.0</v>
      </c>
      <c r="B376" s="19" t="s">
        <v>2171</v>
      </c>
      <c r="C376" s="17" t="s">
        <v>2187</v>
      </c>
      <c r="D376" s="17" t="s">
        <v>2188</v>
      </c>
      <c r="E376" s="19" t="s">
        <v>102</v>
      </c>
      <c r="F376" s="17" t="s">
        <v>1510</v>
      </c>
      <c r="G376" s="17" t="s">
        <v>2189</v>
      </c>
      <c r="H376" s="19">
        <v>9.586678424E9</v>
      </c>
      <c r="I376" s="19">
        <v>9.979010207E9</v>
      </c>
      <c r="J376" s="19" t="s">
        <v>2190</v>
      </c>
      <c r="K376" s="19">
        <v>717.0</v>
      </c>
      <c r="L376" s="19" t="s">
        <v>2018</v>
      </c>
      <c r="M376" s="19" t="s">
        <v>107</v>
      </c>
      <c r="N376" s="21" t="s">
        <v>58</v>
      </c>
      <c r="O376" s="19" t="s">
        <v>119</v>
      </c>
      <c r="P376" s="19" t="s">
        <v>60</v>
      </c>
      <c r="Q376" s="19" t="s">
        <v>38</v>
      </c>
      <c r="R376" s="22">
        <v>46272.0</v>
      </c>
      <c r="S376" s="22">
        <v>45907.0</v>
      </c>
      <c r="T376" s="19" t="s">
        <v>2191</v>
      </c>
      <c r="U376" s="19" t="s">
        <v>33</v>
      </c>
      <c r="V376" s="19">
        <v>6874.0</v>
      </c>
      <c r="W376" s="19">
        <v>8112.0</v>
      </c>
      <c r="X376" s="19">
        <v>6500.0</v>
      </c>
      <c r="Y376" s="19">
        <v>6500.0</v>
      </c>
      <c r="Z376" s="57">
        <f t="shared" si="1"/>
        <v>1612</v>
      </c>
      <c r="AA376" s="15">
        <f t="shared" si="2"/>
        <v>0</v>
      </c>
      <c r="AB376" s="19" t="s">
        <v>39</v>
      </c>
      <c r="AC376" s="17" t="s">
        <v>2192</v>
      </c>
    </row>
    <row r="377">
      <c r="A377" s="17">
        <v>375.0</v>
      </c>
      <c r="B377" s="19" t="s">
        <v>2171</v>
      </c>
      <c r="C377" s="17" t="s">
        <v>2193</v>
      </c>
      <c r="D377" s="17" t="s">
        <v>2194</v>
      </c>
      <c r="E377" s="19" t="s">
        <v>52</v>
      </c>
      <c r="F377" s="17" t="s">
        <v>962</v>
      </c>
      <c r="G377" s="17" t="s">
        <v>2195</v>
      </c>
      <c r="H377" s="19">
        <v>9.725404422E9</v>
      </c>
      <c r="I377" s="19">
        <v>9.662353264E9</v>
      </c>
      <c r="J377" s="19" t="s">
        <v>33</v>
      </c>
      <c r="K377" s="19">
        <v>3460.0</v>
      </c>
      <c r="L377" s="19" t="s">
        <v>2018</v>
      </c>
      <c r="M377" s="19" t="s">
        <v>92</v>
      </c>
      <c r="N377" s="21" t="s">
        <v>58</v>
      </c>
      <c r="O377" s="19" t="s">
        <v>424</v>
      </c>
      <c r="P377" s="19" t="s">
        <v>60</v>
      </c>
      <c r="Q377" s="19" t="s">
        <v>38</v>
      </c>
      <c r="R377" s="25">
        <v>45973.0</v>
      </c>
      <c r="S377" s="19" t="s">
        <v>1190</v>
      </c>
      <c r="T377" s="19" t="s">
        <v>2006</v>
      </c>
      <c r="U377" s="19" t="s">
        <v>33</v>
      </c>
      <c r="V377" s="23">
        <v>22311.0</v>
      </c>
      <c r="W377" s="23">
        <v>24241.0</v>
      </c>
      <c r="X377" s="19">
        <v>16103.0</v>
      </c>
      <c r="Y377" s="19">
        <v>16000.0</v>
      </c>
      <c r="Z377" s="34">
        <f t="shared" si="1"/>
        <v>8241</v>
      </c>
      <c r="AA377" s="15">
        <f t="shared" si="2"/>
        <v>-103</v>
      </c>
      <c r="AB377" s="19" t="s">
        <v>39</v>
      </c>
      <c r="AC377" s="17" t="s">
        <v>2196</v>
      </c>
    </row>
    <row r="378">
      <c r="A378" s="17">
        <v>376.0</v>
      </c>
      <c r="B378" s="19" t="s">
        <v>2171</v>
      </c>
      <c r="C378" s="17" t="s">
        <v>2197</v>
      </c>
      <c r="D378" s="17" t="s">
        <v>2198</v>
      </c>
      <c r="E378" s="19" t="s">
        <v>52</v>
      </c>
      <c r="F378" s="17" t="s">
        <v>2199</v>
      </c>
      <c r="G378" s="17" t="s">
        <v>2200</v>
      </c>
      <c r="H378" s="19">
        <v>9.664746146E9</v>
      </c>
      <c r="I378" s="19">
        <v>8.849285752E9</v>
      </c>
      <c r="J378" s="19" t="s">
        <v>55</v>
      </c>
      <c r="K378" s="19">
        <v>2710.0</v>
      </c>
      <c r="L378" s="19" t="s">
        <v>1606</v>
      </c>
      <c r="M378" s="19" t="s">
        <v>92</v>
      </c>
      <c r="N378" s="21" t="s">
        <v>46</v>
      </c>
      <c r="O378" s="19" t="s">
        <v>424</v>
      </c>
      <c r="P378" s="19" t="s">
        <v>79</v>
      </c>
      <c r="Q378" s="19" t="s">
        <v>38</v>
      </c>
      <c r="R378" s="22">
        <v>44297.0</v>
      </c>
      <c r="S378" s="19" t="s">
        <v>2180</v>
      </c>
      <c r="T378" s="19" t="s">
        <v>33</v>
      </c>
      <c r="U378" s="19" t="s">
        <v>33</v>
      </c>
      <c r="V378" s="19">
        <v>16748.0</v>
      </c>
      <c r="W378" s="19">
        <v>17676.0</v>
      </c>
      <c r="X378" s="19">
        <v>11500.0</v>
      </c>
      <c r="Y378" s="19">
        <v>12000.0</v>
      </c>
      <c r="Z378" s="57">
        <f t="shared" si="1"/>
        <v>5676</v>
      </c>
      <c r="AA378" s="15">
        <f t="shared" si="2"/>
        <v>500</v>
      </c>
      <c r="AB378" s="19" t="s">
        <v>39</v>
      </c>
      <c r="AC378" s="17" t="s">
        <v>2201</v>
      </c>
    </row>
    <row r="379">
      <c r="A379" s="17">
        <v>377.0</v>
      </c>
      <c r="B379" s="19" t="s">
        <v>2171</v>
      </c>
      <c r="C379" s="17" t="s">
        <v>2202</v>
      </c>
      <c r="D379" s="17" t="s">
        <v>2203</v>
      </c>
      <c r="E379" s="19" t="s">
        <v>30</v>
      </c>
      <c r="F379" s="17" t="s">
        <v>2204</v>
      </c>
      <c r="G379" s="17" t="s">
        <v>2205</v>
      </c>
      <c r="H379" s="19">
        <v>9.978278035E9</v>
      </c>
      <c r="I379" s="19">
        <v>9.909008343E9</v>
      </c>
      <c r="J379" s="19" t="s">
        <v>33</v>
      </c>
      <c r="K379" s="19">
        <v>1582.0</v>
      </c>
      <c r="L379" s="19" t="s">
        <v>1606</v>
      </c>
      <c r="M379" s="19" t="s">
        <v>152</v>
      </c>
      <c r="N379" s="21" t="s">
        <v>46</v>
      </c>
      <c r="O379" s="19" t="s">
        <v>439</v>
      </c>
      <c r="P379" s="19" t="s">
        <v>60</v>
      </c>
      <c r="Q379" s="19" t="s">
        <v>38</v>
      </c>
      <c r="R379" s="19" t="s">
        <v>2206</v>
      </c>
      <c r="S379" s="19" t="s">
        <v>2080</v>
      </c>
      <c r="T379" s="19" t="s">
        <v>33</v>
      </c>
      <c r="U379" s="19" t="s">
        <v>33</v>
      </c>
      <c r="V379" s="19">
        <v>8522.0</v>
      </c>
      <c r="W379" s="19">
        <v>10056.0</v>
      </c>
      <c r="X379" s="19">
        <v>10200.0</v>
      </c>
      <c r="Y379" s="19">
        <v>10200.0</v>
      </c>
      <c r="Z379" s="57">
        <f t="shared" si="1"/>
        <v>-144</v>
      </c>
      <c r="AA379" s="15">
        <f t="shared" si="2"/>
        <v>0</v>
      </c>
      <c r="AB379" s="19" t="s">
        <v>39</v>
      </c>
      <c r="AC379" s="17" t="s">
        <v>2207</v>
      </c>
    </row>
    <row r="380">
      <c r="A380" s="17">
        <v>378.0</v>
      </c>
      <c r="B380" s="19" t="s">
        <v>2171</v>
      </c>
      <c r="C380" s="17" t="s">
        <v>2208</v>
      </c>
      <c r="D380" s="17" t="s">
        <v>2209</v>
      </c>
      <c r="E380" s="19" t="s">
        <v>102</v>
      </c>
      <c r="F380" s="17" t="s">
        <v>111</v>
      </c>
      <c r="G380" s="17" t="s">
        <v>2210</v>
      </c>
      <c r="H380" s="19">
        <v>9.879398357E9</v>
      </c>
      <c r="I380" s="19">
        <v>7.016524887E9</v>
      </c>
      <c r="J380" s="19" t="s">
        <v>2211</v>
      </c>
      <c r="K380" s="19">
        <v>806.0</v>
      </c>
      <c r="L380" s="19" t="s">
        <v>2018</v>
      </c>
      <c r="M380" s="19" t="s">
        <v>107</v>
      </c>
      <c r="N380" s="21" t="s">
        <v>58</v>
      </c>
      <c r="O380" s="19" t="s">
        <v>36</v>
      </c>
      <c r="P380" s="19" t="s">
        <v>60</v>
      </c>
      <c r="Q380" s="19" t="s">
        <v>38</v>
      </c>
      <c r="R380" s="19" t="s">
        <v>2212</v>
      </c>
      <c r="S380" s="19" t="s">
        <v>1146</v>
      </c>
      <c r="T380" s="19" t="s">
        <v>2213</v>
      </c>
      <c r="U380" s="19" t="s">
        <v>33</v>
      </c>
      <c r="V380" s="19">
        <v>6686.0</v>
      </c>
      <c r="W380" s="19">
        <v>7890.0</v>
      </c>
      <c r="X380" s="19">
        <v>6500.0</v>
      </c>
      <c r="Y380" s="19">
        <v>6500.0</v>
      </c>
      <c r="Z380" s="57">
        <f t="shared" si="1"/>
        <v>1390</v>
      </c>
      <c r="AA380" s="15">
        <f t="shared" si="2"/>
        <v>0</v>
      </c>
      <c r="AB380" s="19" t="s">
        <v>39</v>
      </c>
      <c r="AC380" s="17" t="s">
        <v>2214</v>
      </c>
    </row>
    <row r="381">
      <c r="A381" s="17">
        <v>379.0</v>
      </c>
      <c r="B381" s="19" t="s">
        <v>2171</v>
      </c>
      <c r="C381" s="17" t="s">
        <v>2215</v>
      </c>
      <c r="D381" s="18">
        <v>2.613583812E11</v>
      </c>
      <c r="E381" s="19" t="s">
        <v>30</v>
      </c>
      <c r="F381" s="17" t="s">
        <v>2216</v>
      </c>
      <c r="G381" s="17" t="s">
        <v>2217</v>
      </c>
      <c r="H381" s="19">
        <v>6.355021052E9</v>
      </c>
      <c r="I381" s="19">
        <v>9.825494657E9</v>
      </c>
      <c r="J381" s="19" t="s">
        <v>33</v>
      </c>
      <c r="K381" s="19">
        <v>1086.0</v>
      </c>
      <c r="L381" s="19" t="s">
        <v>1606</v>
      </c>
      <c r="M381" s="19" t="s">
        <v>2218</v>
      </c>
      <c r="N381" s="21" t="s">
        <v>46</v>
      </c>
      <c r="O381" s="19" t="s">
        <v>496</v>
      </c>
      <c r="P381" s="19" t="s">
        <v>1492</v>
      </c>
      <c r="Q381" s="19" t="s">
        <v>38</v>
      </c>
      <c r="R381" s="19" t="s">
        <v>2219</v>
      </c>
      <c r="S381" s="19" t="s">
        <v>33</v>
      </c>
      <c r="T381" s="19" t="s">
        <v>33</v>
      </c>
      <c r="U381" s="19" t="s">
        <v>33</v>
      </c>
      <c r="V381" s="19">
        <v>3476.0</v>
      </c>
      <c r="W381" s="19">
        <v>4102.0</v>
      </c>
      <c r="X381" s="19">
        <v>4000.0</v>
      </c>
      <c r="Y381" s="19">
        <v>4000.0</v>
      </c>
      <c r="Z381" s="57">
        <f t="shared" si="1"/>
        <v>102</v>
      </c>
      <c r="AA381" s="15">
        <f t="shared" si="2"/>
        <v>0</v>
      </c>
      <c r="AB381" s="19" t="s">
        <v>39</v>
      </c>
      <c r="AC381" s="17" t="s">
        <v>2220</v>
      </c>
    </row>
    <row r="382">
      <c r="A382" s="17">
        <v>380.0</v>
      </c>
      <c r="B382" s="19" t="s">
        <v>2171</v>
      </c>
      <c r="C382" s="17" t="s">
        <v>2221</v>
      </c>
      <c r="D382" s="17" t="s">
        <v>2222</v>
      </c>
      <c r="E382" s="19" t="s">
        <v>30</v>
      </c>
      <c r="F382" s="17" t="s">
        <v>2223</v>
      </c>
      <c r="G382" s="17" t="s">
        <v>2224</v>
      </c>
      <c r="H382" s="19">
        <v>9.265558641E9</v>
      </c>
      <c r="I382" s="19">
        <v>9.099300189E9</v>
      </c>
      <c r="J382" s="19" t="s">
        <v>33</v>
      </c>
      <c r="K382" s="19">
        <v>1196.0</v>
      </c>
      <c r="L382" s="19" t="s">
        <v>1606</v>
      </c>
      <c r="M382" s="19" t="s">
        <v>78</v>
      </c>
      <c r="N382" s="21" t="s">
        <v>46</v>
      </c>
      <c r="O382" s="19" t="s">
        <v>36</v>
      </c>
      <c r="P382" s="19" t="s">
        <v>1492</v>
      </c>
      <c r="Q382" s="19" t="s">
        <v>38</v>
      </c>
      <c r="R382" s="19" t="s">
        <v>2225</v>
      </c>
      <c r="S382" s="19" t="s">
        <v>1562</v>
      </c>
      <c r="T382" s="19" t="s">
        <v>33</v>
      </c>
      <c r="U382" s="19" t="s">
        <v>33</v>
      </c>
      <c r="V382" s="19">
        <v>4047.0</v>
      </c>
      <c r="W382" s="19">
        <v>4775.0</v>
      </c>
      <c r="X382" s="19">
        <v>4800.0</v>
      </c>
      <c r="Y382" s="19">
        <v>4800.0</v>
      </c>
      <c r="Z382" s="57">
        <f t="shared" si="1"/>
        <v>-25</v>
      </c>
      <c r="AA382" s="15">
        <f t="shared" si="2"/>
        <v>0</v>
      </c>
      <c r="AB382" s="19" t="s">
        <v>39</v>
      </c>
      <c r="AC382" s="17" t="s">
        <v>2226</v>
      </c>
    </row>
    <row r="383">
      <c r="A383" s="17">
        <v>381.0</v>
      </c>
      <c r="B383" s="19" t="s">
        <v>2171</v>
      </c>
      <c r="C383" s="17" t="s">
        <v>2227</v>
      </c>
      <c r="D383" s="17" t="s">
        <v>2228</v>
      </c>
      <c r="E383" s="19" t="s">
        <v>88</v>
      </c>
      <c r="F383" s="17" t="s">
        <v>2229</v>
      </c>
      <c r="G383" s="17" t="s">
        <v>2230</v>
      </c>
      <c r="H383" s="19">
        <v>8.799561662E9</v>
      </c>
      <c r="I383" s="19">
        <v>9.558492222E9</v>
      </c>
      <c r="J383" s="19" t="s">
        <v>33</v>
      </c>
      <c r="K383" s="19">
        <v>16020.0</v>
      </c>
      <c r="L383" s="19" t="s">
        <v>2018</v>
      </c>
      <c r="M383" s="19" t="s">
        <v>107</v>
      </c>
      <c r="N383" s="21" t="s">
        <v>58</v>
      </c>
      <c r="O383" s="19" t="s">
        <v>66</v>
      </c>
      <c r="P383" s="19" t="s">
        <v>60</v>
      </c>
      <c r="Q383" s="19" t="s">
        <v>38</v>
      </c>
      <c r="R383" s="19" t="s">
        <v>1072</v>
      </c>
      <c r="S383" s="19" t="s">
        <v>448</v>
      </c>
      <c r="T383" s="19" t="s">
        <v>2231</v>
      </c>
      <c r="U383" s="19" t="s">
        <v>33</v>
      </c>
      <c r="V383" s="19">
        <v>38517.0</v>
      </c>
      <c r="W383" s="19">
        <v>40860.0</v>
      </c>
      <c r="X383" s="19">
        <v>36016.0</v>
      </c>
      <c r="Y383" s="19">
        <v>35000.0</v>
      </c>
      <c r="Z383" s="57">
        <f t="shared" si="1"/>
        <v>5860</v>
      </c>
      <c r="AA383" s="15">
        <f t="shared" si="2"/>
        <v>-1016</v>
      </c>
      <c r="AB383" s="19" t="s">
        <v>39</v>
      </c>
      <c r="AC383" s="17" t="s">
        <v>2232</v>
      </c>
    </row>
    <row r="384">
      <c r="A384" s="17">
        <v>382.0</v>
      </c>
      <c r="B384" s="19" t="s">
        <v>2171</v>
      </c>
      <c r="C384" s="17" t="s">
        <v>2233</v>
      </c>
      <c r="D384" s="17" t="s">
        <v>2234</v>
      </c>
      <c r="E384" s="19" t="s">
        <v>75</v>
      </c>
      <c r="F384" s="17" t="s">
        <v>685</v>
      </c>
      <c r="G384" s="17" t="s">
        <v>2235</v>
      </c>
      <c r="H384" s="19">
        <v>9.601759739E9</v>
      </c>
      <c r="I384" s="19">
        <v>9.998617839E9</v>
      </c>
      <c r="J384" s="19" t="s">
        <v>33</v>
      </c>
      <c r="K384" s="19">
        <v>97.0</v>
      </c>
      <c r="L384" s="51">
        <v>46662.0</v>
      </c>
      <c r="M384" s="19" t="s">
        <v>78</v>
      </c>
      <c r="N384" s="21" t="s">
        <v>46</v>
      </c>
      <c r="O384" s="19" t="s">
        <v>66</v>
      </c>
      <c r="P384" s="19" t="s">
        <v>1492</v>
      </c>
      <c r="Q384" s="19" t="s">
        <v>38</v>
      </c>
      <c r="R384" s="22">
        <v>48859.0</v>
      </c>
      <c r="S384" s="19" t="s">
        <v>2236</v>
      </c>
      <c r="T384" s="19" t="s">
        <v>33</v>
      </c>
      <c r="U384" s="19" t="s">
        <v>33</v>
      </c>
      <c r="V384" s="19">
        <v>714.0</v>
      </c>
      <c r="W384" s="19">
        <v>843.0</v>
      </c>
      <c r="X384" s="19">
        <v>850.0</v>
      </c>
      <c r="Y384" s="19">
        <v>850.0</v>
      </c>
      <c r="Z384" s="57">
        <f t="shared" si="1"/>
        <v>-7</v>
      </c>
      <c r="AA384" s="15">
        <f t="shared" si="2"/>
        <v>0</v>
      </c>
      <c r="AB384" s="59"/>
      <c r="AC384" s="17" t="s">
        <v>2237</v>
      </c>
    </row>
    <row r="385">
      <c r="A385" s="17">
        <v>383.0</v>
      </c>
      <c r="B385" s="19" t="s">
        <v>2171</v>
      </c>
      <c r="C385" s="17" t="s">
        <v>2238</v>
      </c>
      <c r="D385" s="17" t="s">
        <v>2239</v>
      </c>
      <c r="E385" s="19" t="s">
        <v>88</v>
      </c>
      <c r="F385" s="17" t="s">
        <v>633</v>
      </c>
      <c r="G385" s="17" t="s">
        <v>2240</v>
      </c>
      <c r="H385" s="19">
        <v>7.98467355E9</v>
      </c>
      <c r="I385" s="19" t="s">
        <v>33</v>
      </c>
      <c r="J385" s="19" t="s">
        <v>33</v>
      </c>
      <c r="K385" s="19">
        <v>35000.0</v>
      </c>
      <c r="L385" s="19" t="s">
        <v>2018</v>
      </c>
      <c r="M385" s="19" t="s">
        <v>152</v>
      </c>
      <c r="N385" s="21" t="s">
        <v>58</v>
      </c>
      <c r="O385" s="19" t="s">
        <v>59</v>
      </c>
      <c r="P385" s="19" t="s">
        <v>60</v>
      </c>
      <c r="Q385" s="19" t="s">
        <v>38</v>
      </c>
      <c r="R385" s="19" t="s">
        <v>2241</v>
      </c>
      <c r="S385" s="19" t="s">
        <v>448</v>
      </c>
      <c r="T385" s="19" t="s">
        <v>2242</v>
      </c>
      <c r="U385" s="19" t="s">
        <v>33</v>
      </c>
      <c r="V385" s="23">
        <v>48214.85</v>
      </c>
      <c r="W385" s="23">
        <v>51180.0</v>
      </c>
      <c r="X385" s="19">
        <v>41261.0</v>
      </c>
      <c r="Y385" s="19">
        <v>41500.0</v>
      </c>
      <c r="Z385" s="34">
        <f t="shared" si="1"/>
        <v>9680</v>
      </c>
      <c r="AA385" s="15">
        <f t="shared" si="2"/>
        <v>239</v>
      </c>
      <c r="AB385" s="19" t="s">
        <v>39</v>
      </c>
      <c r="AC385" s="17" t="s">
        <v>2243</v>
      </c>
    </row>
    <row r="386">
      <c r="A386" s="17">
        <v>384.0</v>
      </c>
      <c r="B386" s="19" t="s">
        <v>2171</v>
      </c>
      <c r="C386" s="17" t="s">
        <v>2244</v>
      </c>
      <c r="D386" s="17" t="s">
        <v>2245</v>
      </c>
      <c r="E386" s="19" t="s">
        <v>410</v>
      </c>
      <c r="F386" s="17" t="s">
        <v>2099</v>
      </c>
      <c r="G386" s="17" t="s">
        <v>2246</v>
      </c>
      <c r="H386" s="19">
        <v>9.879428428E9</v>
      </c>
      <c r="I386" s="19">
        <v>7.9907858E9</v>
      </c>
      <c r="J386" s="19" t="s">
        <v>33</v>
      </c>
      <c r="K386" s="19">
        <v>1493.0</v>
      </c>
      <c r="L386" s="19" t="s">
        <v>1606</v>
      </c>
      <c r="M386" s="19" t="s">
        <v>107</v>
      </c>
      <c r="N386" s="21" t="s">
        <v>58</v>
      </c>
      <c r="O386" s="19" t="s">
        <v>66</v>
      </c>
      <c r="P386" s="19" t="s">
        <v>60</v>
      </c>
      <c r="Q386" s="19" t="s">
        <v>860</v>
      </c>
      <c r="R386" s="19" t="s">
        <v>400</v>
      </c>
      <c r="S386" s="22">
        <v>46241.0</v>
      </c>
      <c r="T386" s="22">
        <v>46722.0</v>
      </c>
      <c r="U386" s="19" t="s">
        <v>33</v>
      </c>
      <c r="V386" s="19">
        <v>16108.0</v>
      </c>
      <c r="W386" s="19">
        <v>19008.0</v>
      </c>
      <c r="X386" s="19">
        <v>16764.0</v>
      </c>
      <c r="Y386" s="19">
        <v>16700.0</v>
      </c>
      <c r="Z386" s="57">
        <f t="shared" si="1"/>
        <v>2308</v>
      </c>
      <c r="AA386" s="15">
        <f t="shared" si="2"/>
        <v>-64</v>
      </c>
      <c r="AB386" s="19" t="s">
        <v>39</v>
      </c>
      <c r="AC386" s="17" t="s">
        <v>2247</v>
      </c>
    </row>
    <row r="387">
      <c r="A387" s="17">
        <v>385.0</v>
      </c>
      <c r="B387" s="19" t="s">
        <v>2171</v>
      </c>
      <c r="C387" s="17" t="s">
        <v>2248</v>
      </c>
      <c r="D387" s="17" t="s">
        <v>2249</v>
      </c>
      <c r="E387" s="19" t="s">
        <v>88</v>
      </c>
      <c r="F387" s="17" t="s">
        <v>2250</v>
      </c>
      <c r="G387" s="17" t="s">
        <v>2251</v>
      </c>
      <c r="H387" s="19">
        <v>9.712338779E9</v>
      </c>
      <c r="I387" s="19">
        <v>9.925741474E9</v>
      </c>
      <c r="J387" s="19" t="s">
        <v>33</v>
      </c>
      <c r="K387" s="19">
        <v>16371.0</v>
      </c>
      <c r="L387" s="19" t="s">
        <v>1606</v>
      </c>
      <c r="M387" s="19" t="s">
        <v>107</v>
      </c>
      <c r="N387" s="21" t="s">
        <v>58</v>
      </c>
      <c r="O387" s="19" t="s">
        <v>66</v>
      </c>
      <c r="P387" s="19" t="s">
        <v>60</v>
      </c>
      <c r="Q387" s="19" t="s">
        <v>38</v>
      </c>
      <c r="R387" s="19" t="s">
        <v>449</v>
      </c>
      <c r="S387" s="19" t="s">
        <v>448</v>
      </c>
      <c r="T387" s="19" t="s">
        <v>2252</v>
      </c>
      <c r="U387" s="19" t="s">
        <v>33</v>
      </c>
      <c r="V387" s="19">
        <v>49161.0</v>
      </c>
      <c r="W387" s="19">
        <v>53421.0</v>
      </c>
      <c r="X387" s="19">
        <v>43811.0</v>
      </c>
      <c r="Y387" s="19">
        <v>43500.0</v>
      </c>
      <c r="Z387" s="57">
        <f t="shared" si="1"/>
        <v>9921</v>
      </c>
      <c r="AA387" s="15">
        <f t="shared" si="2"/>
        <v>-311</v>
      </c>
      <c r="AB387" s="19" t="s">
        <v>39</v>
      </c>
      <c r="AC387" s="17" t="s">
        <v>2253</v>
      </c>
    </row>
    <row r="388">
      <c r="A388" s="17">
        <v>386.0</v>
      </c>
      <c r="B388" s="19" t="s">
        <v>2171</v>
      </c>
      <c r="C388" s="17" t="s">
        <v>2254</v>
      </c>
      <c r="D388" s="17" t="s">
        <v>2255</v>
      </c>
      <c r="E388" s="19" t="s">
        <v>30</v>
      </c>
      <c r="F388" s="17" t="s">
        <v>2256</v>
      </c>
      <c r="G388" s="17" t="s">
        <v>2257</v>
      </c>
      <c r="H388" s="19" t="s">
        <v>2258</v>
      </c>
      <c r="I388" s="19" t="s">
        <v>33</v>
      </c>
      <c r="J388" s="19" t="s">
        <v>33</v>
      </c>
      <c r="K388" s="19">
        <v>1197.0</v>
      </c>
      <c r="L388" s="19" t="s">
        <v>1606</v>
      </c>
      <c r="M388" s="19" t="s">
        <v>78</v>
      </c>
      <c r="N388" s="21" t="s">
        <v>46</v>
      </c>
      <c r="O388" s="19" t="s">
        <v>36</v>
      </c>
      <c r="P388" s="19" t="s">
        <v>1492</v>
      </c>
      <c r="Q388" s="19" t="s">
        <v>38</v>
      </c>
      <c r="R388" s="19" t="s">
        <v>2259</v>
      </c>
      <c r="S388" s="22">
        <v>45786.0</v>
      </c>
      <c r="T388" s="19" t="s">
        <v>33</v>
      </c>
      <c r="U388" s="19" t="s">
        <v>33</v>
      </c>
      <c r="V388" s="19">
        <v>3797.0</v>
      </c>
      <c r="W388" s="19">
        <v>4481.0</v>
      </c>
      <c r="X388" s="19">
        <v>4500.0</v>
      </c>
      <c r="Y388" s="19">
        <v>4500.0</v>
      </c>
      <c r="Z388" s="57">
        <f t="shared" si="1"/>
        <v>-19</v>
      </c>
      <c r="AA388" s="15">
        <f t="shared" si="2"/>
        <v>0</v>
      </c>
      <c r="AB388" s="19" t="s">
        <v>39</v>
      </c>
      <c r="AC388" s="17" t="s">
        <v>2260</v>
      </c>
    </row>
    <row r="389">
      <c r="A389" s="17">
        <v>387.0</v>
      </c>
      <c r="B389" s="19" t="s">
        <v>2171</v>
      </c>
      <c r="C389" s="17" t="s">
        <v>2261</v>
      </c>
      <c r="D389" s="17" t="s">
        <v>2262</v>
      </c>
      <c r="E389" s="19" t="s">
        <v>30</v>
      </c>
      <c r="F389" s="17" t="s">
        <v>2263</v>
      </c>
      <c r="G389" s="17" t="s">
        <v>2264</v>
      </c>
      <c r="H389" s="19">
        <v>6.355011211E9</v>
      </c>
      <c r="I389" s="19" t="s">
        <v>33</v>
      </c>
      <c r="J389" s="19" t="s">
        <v>33</v>
      </c>
      <c r="K389" s="19">
        <v>1196.0</v>
      </c>
      <c r="L389" s="19" t="s">
        <v>2018</v>
      </c>
      <c r="M389" s="19" t="s">
        <v>45</v>
      </c>
      <c r="N389" s="21" t="s">
        <v>58</v>
      </c>
      <c r="O389" s="19" t="s">
        <v>36</v>
      </c>
      <c r="P389" s="19" t="s">
        <v>37</v>
      </c>
      <c r="Q389" s="19" t="s">
        <v>38</v>
      </c>
      <c r="R389" s="19" t="s">
        <v>2265</v>
      </c>
      <c r="S389" s="19" t="s">
        <v>2180</v>
      </c>
      <c r="T389" s="19" t="s">
        <v>33</v>
      </c>
      <c r="U389" s="19" t="s">
        <v>33</v>
      </c>
      <c r="V389" s="19">
        <v>9242.0</v>
      </c>
      <c r="W389" s="19">
        <v>10906.0</v>
      </c>
      <c r="X389" s="19">
        <v>10906.0</v>
      </c>
      <c r="Y389" s="19">
        <v>10906.0</v>
      </c>
      <c r="Z389" s="57">
        <f t="shared" si="1"/>
        <v>0</v>
      </c>
      <c r="AA389" s="15">
        <f t="shared" si="2"/>
        <v>0</v>
      </c>
      <c r="AB389" s="19" t="s">
        <v>39</v>
      </c>
      <c r="AC389" s="17" t="s">
        <v>2266</v>
      </c>
    </row>
    <row r="390">
      <c r="A390" s="17">
        <v>388.0</v>
      </c>
      <c r="B390" s="20">
        <v>46024.0</v>
      </c>
      <c r="C390" s="17" t="s">
        <v>2267</v>
      </c>
      <c r="D390" s="17" t="s">
        <v>2268</v>
      </c>
      <c r="E390" s="19" t="s">
        <v>102</v>
      </c>
      <c r="F390" s="17" t="s">
        <v>111</v>
      </c>
      <c r="G390" s="17" t="s">
        <v>2269</v>
      </c>
      <c r="H390" s="19" t="s">
        <v>2270</v>
      </c>
      <c r="I390" s="19" t="s">
        <v>33</v>
      </c>
      <c r="J390" s="19" t="s">
        <v>33</v>
      </c>
      <c r="K390" s="17">
        <v>236.0</v>
      </c>
      <c r="L390" s="17" t="s">
        <v>1606</v>
      </c>
      <c r="M390" s="19" t="s">
        <v>107</v>
      </c>
      <c r="N390" s="21" t="s">
        <v>58</v>
      </c>
      <c r="O390" s="19" t="s">
        <v>36</v>
      </c>
      <c r="P390" s="19" t="s">
        <v>60</v>
      </c>
      <c r="Q390" s="19" t="s">
        <v>38</v>
      </c>
      <c r="R390" s="19" t="s">
        <v>2271</v>
      </c>
      <c r="S390" s="19" t="s">
        <v>2272</v>
      </c>
      <c r="T390" s="22">
        <v>46883.0</v>
      </c>
      <c r="U390" s="19" t="s">
        <v>33</v>
      </c>
      <c r="V390" s="19">
        <v>6843.0</v>
      </c>
      <c r="W390" s="19">
        <v>8075.0</v>
      </c>
      <c r="X390" s="19">
        <v>6500.0</v>
      </c>
      <c r="Y390" s="19">
        <v>6500.0</v>
      </c>
      <c r="Z390" s="57">
        <f t="shared" si="1"/>
        <v>1575</v>
      </c>
      <c r="AA390" s="15">
        <f t="shared" si="2"/>
        <v>0</v>
      </c>
      <c r="AB390" s="19" t="s">
        <v>39</v>
      </c>
      <c r="AC390" s="17" t="s">
        <v>2273</v>
      </c>
    </row>
    <row r="391">
      <c r="A391" s="17">
        <v>389.0</v>
      </c>
      <c r="B391" s="20">
        <v>46024.0</v>
      </c>
      <c r="C391" s="17" t="s">
        <v>2274</v>
      </c>
      <c r="D391" s="18" t="s">
        <v>2275</v>
      </c>
      <c r="E391" s="19" t="s">
        <v>410</v>
      </c>
      <c r="F391" s="17" t="s">
        <v>1995</v>
      </c>
      <c r="G391" s="17" t="s">
        <v>2276</v>
      </c>
      <c r="H391" s="17">
        <v>9.512455004E9</v>
      </c>
      <c r="I391" s="19">
        <v>6.352811347E9</v>
      </c>
      <c r="J391" s="19" t="s">
        <v>33</v>
      </c>
      <c r="K391" s="17">
        <v>1493.0</v>
      </c>
      <c r="L391" s="17" t="s">
        <v>1804</v>
      </c>
      <c r="M391" s="19" t="s">
        <v>107</v>
      </c>
      <c r="N391" s="21" t="s">
        <v>58</v>
      </c>
      <c r="O391" s="19" t="s">
        <v>93</v>
      </c>
      <c r="P391" s="19" t="s">
        <v>60</v>
      </c>
      <c r="Q391" s="19" t="s">
        <v>38</v>
      </c>
      <c r="R391" s="19" t="s">
        <v>653</v>
      </c>
      <c r="S391" s="22">
        <v>46114.0</v>
      </c>
      <c r="T391" s="22">
        <v>47738.0</v>
      </c>
      <c r="U391" s="19" t="s">
        <v>33</v>
      </c>
      <c r="V391" s="19">
        <v>28679.0</v>
      </c>
      <c r="W391" s="19">
        <v>33841.0</v>
      </c>
      <c r="X391" s="19">
        <v>29737.0</v>
      </c>
      <c r="Y391" s="19">
        <v>28750.0</v>
      </c>
      <c r="Z391" s="57">
        <f t="shared" si="1"/>
        <v>5091</v>
      </c>
      <c r="AA391" s="15">
        <f t="shared" si="2"/>
        <v>-987</v>
      </c>
      <c r="AB391" s="19" t="s">
        <v>39</v>
      </c>
      <c r="AC391" s="47" t="s">
        <v>2277</v>
      </c>
    </row>
    <row r="392">
      <c r="A392" s="17">
        <v>390.0</v>
      </c>
      <c r="B392" s="20">
        <v>46024.0</v>
      </c>
      <c r="C392" s="17" t="s">
        <v>2278</v>
      </c>
      <c r="D392" s="18" t="s">
        <v>2279</v>
      </c>
      <c r="E392" s="19" t="s">
        <v>30</v>
      </c>
      <c r="F392" s="17" t="s">
        <v>2280</v>
      </c>
      <c r="G392" s="17" t="s">
        <v>2281</v>
      </c>
      <c r="H392" s="19">
        <v>9.227147786E9</v>
      </c>
      <c r="I392" s="19">
        <v>8.200702807E9</v>
      </c>
      <c r="J392" s="19" t="s">
        <v>33</v>
      </c>
      <c r="K392" s="17">
        <v>1086.0</v>
      </c>
      <c r="L392" s="17" t="s">
        <v>1804</v>
      </c>
      <c r="M392" s="19" t="s">
        <v>152</v>
      </c>
      <c r="N392" s="21" t="s">
        <v>46</v>
      </c>
      <c r="O392" s="19" t="s">
        <v>66</v>
      </c>
      <c r="P392" s="19" t="s">
        <v>37</v>
      </c>
      <c r="Q392" s="19" t="s">
        <v>38</v>
      </c>
      <c r="R392" s="19" t="s">
        <v>2191</v>
      </c>
      <c r="S392" s="19" t="s">
        <v>1059</v>
      </c>
      <c r="T392" s="19" t="s">
        <v>33</v>
      </c>
      <c r="U392" s="19" t="s">
        <v>33</v>
      </c>
      <c r="V392" s="19">
        <v>3416.0</v>
      </c>
      <c r="W392" s="19">
        <v>4031.0</v>
      </c>
      <c r="X392" s="19">
        <v>4000.0</v>
      </c>
      <c r="Y392" s="19">
        <v>4000.0</v>
      </c>
      <c r="Z392" s="57">
        <f t="shared" si="1"/>
        <v>31</v>
      </c>
      <c r="AA392" s="15">
        <f t="shared" si="2"/>
        <v>0</v>
      </c>
      <c r="AB392" s="19" t="s">
        <v>39</v>
      </c>
      <c r="AC392" s="17" t="s">
        <v>2282</v>
      </c>
    </row>
    <row r="393">
      <c r="A393" s="17">
        <v>391.0</v>
      </c>
      <c r="B393" s="20">
        <v>46024.0</v>
      </c>
      <c r="C393" s="17" t="s">
        <v>2283</v>
      </c>
      <c r="D393" s="18" t="s">
        <v>2284</v>
      </c>
      <c r="E393" s="19" t="s">
        <v>102</v>
      </c>
      <c r="F393" s="17" t="s">
        <v>111</v>
      </c>
      <c r="G393" s="17" t="s">
        <v>2285</v>
      </c>
      <c r="H393" s="19">
        <v>9.979545016E9</v>
      </c>
      <c r="I393" s="19">
        <v>9.824813544E9</v>
      </c>
      <c r="J393" s="19" t="s">
        <v>33</v>
      </c>
      <c r="K393" s="17">
        <v>236.0</v>
      </c>
      <c r="L393" s="17" t="s">
        <v>1606</v>
      </c>
      <c r="M393" s="19" t="s">
        <v>107</v>
      </c>
      <c r="N393" s="21" t="s">
        <v>58</v>
      </c>
      <c r="O393" s="19" t="s">
        <v>66</v>
      </c>
      <c r="P393" s="19" t="s">
        <v>60</v>
      </c>
      <c r="Q393" s="19" t="s">
        <v>38</v>
      </c>
      <c r="R393" s="22">
        <v>46549.0</v>
      </c>
      <c r="S393" s="19" t="s">
        <v>2286</v>
      </c>
      <c r="T393" s="19" t="s">
        <v>2287</v>
      </c>
      <c r="U393" s="19" t="s">
        <v>33</v>
      </c>
      <c r="V393" s="19">
        <v>6636.0</v>
      </c>
      <c r="W393" s="19">
        <v>7830.0</v>
      </c>
      <c r="X393" s="19">
        <v>6500.0</v>
      </c>
      <c r="Y393" s="19">
        <v>6500.0</v>
      </c>
      <c r="Z393" s="57">
        <f t="shared" si="1"/>
        <v>1330</v>
      </c>
      <c r="AA393" s="15">
        <f t="shared" si="2"/>
        <v>0</v>
      </c>
      <c r="AB393" s="19" t="s">
        <v>39</v>
      </c>
      <c r="AC393" s="17" t="s">
        <v>2288</v>
      </c>
    </row>
    <row r="394">
      <c r="A394" s="17">
        <v>392.0</v>
      </c>
      <c r="B394" s="20">
        <v>46024.0</v>
      </c>
      <c r="C394" s="17" t="s">
        <v>2289</v>
      </c>
      <c r="D394" s="18" t="s">
        <v>2290</v>
      </c>
      <c r="E394" s="19" t="s">
        <v>30</v>
      </c>
      <c r="F394" s="17" t="s">
        <v>2291</v>
      </c>
      <c r="G394" s="17" t="s">
        <v>2292</v>
      </c>
      <c r="H394" s="19">
        <v>8.140962014E9</v>
      </c>
      <c r="I394" s="19">
        <v>6.356289914E9</v>
      </c>
      <c r="J394" s="19" t="s">
        <v>33</v>
      </c>
      <c r="K394" s="17">
        <v>1197.0</v>
      </c>
      <c r="L394" s="60">
        <v>46389.0</v>
      </c>
      <c r="M394" s="19" t="s">
        <v>591</v>
      </c>
      <c r="N394" s="21" t="s">
        <v>46</v>
      </c>
      <c r="O394" s="19" t="s">
        <v>161</v>
      </c>
      <c r="P394" s="19" t="s">
        <v>1492</v>
      </c>
      <c r="Q394" s="19" t="s">
        <v>38</v>
      </c>
      <c r="R394" s="22">
        <v>50619.0</v>
      </c>
      <c r="S394" s="22">
        <v>46085.0</v>
      </c>
      <c r="T394" s="19" t="s">
        <v>33</v>
      </c>
      <c r="U394" s="19" t="s">
        <v>33</v>
      </c>
      <c r="V394" s="19">
        <v>3476.0</v>
      </c>
      <c r="W394" s="19">
        <v>4101.0</v>
      </c>
      <c r="X394" s="19">
        <v>4000.0</v>
      </c>
      <c r="Y394" s="19">
        <v>4000.0</v>
      </c>
      <c r="Z394" s="57">
        <f t="shared" si="1"/>
        <v>101</v>
      </c>
      <c r="AA394" s="15">
        <f t="shared" si="2"/>
        <v>0</v>
      </c>
      <c r="AB394" s="19" t="s">
        <v>39</v>
      </c>
      <c r="AC394" s="17" t="s">
        <v>2293</v>
      </c>
    </row>
    <row r="395">
      <c r="A395" s="26">
        <v>393.0</v>
      </c>
      <c r="B395" s="20">
        <v>46024.0</v>
      </c>
      <c r="C395" s="17" t="s">
        <v>2294</v>
      </c>
      <c r="D395" s="18">
        <v>1.000140779E9</v>
      </c>
      <c r="E395" s="19" t="s">
        <v>30</v>
      </c>
      <c r="F395" s="17" t="s">
        <v>2295</v>
      </c>
      <c r="G395" s="17" t="s">
        <v>2296</v>
      </c>
      <c r="H395" s="19">
        <v>9.913557251E9</v>
      </c>
      <c r="I395" s="19">
        <v>6.353199848E9</v>
      </c>
      <c r="J395" s="19" t="s">
        <v>33</v>
      </c>
      <c r="K395" s="17">
        <v>998.0</v>
      </c>
      <c r="L395" s="60">
        <v>46389.0</v>
      </c>
      <c r="M395" s="19" t="s">
        <v>34</v>
      </c>
      <c r="N395" s="21" t="s">
        <v>46</v>
      </c>
      <c r="O395" s="19" t="s">
        <v>431</v>
      </c>
      <c r="P395" s="19" t="s">
        <v>1492</v>
      </c>
      <c r="Q395" s="19" t="s">
        <v>38</v>
      </c>
      <c r="R395" s="22">
        <v>46639.0</v>
      </c>
      <c r="S395" s="19" t="s">
        <v>2297</v>
      </c>
      <c r="T395" s="19" t="s">
        <v>33</v>
      </c>
      <c r="U395" s="19" t="s">
        <v>33</v>
      </c>
      <c r="V395" s="19">
        <v>2154.0</v>
      </c>
      <c r="W395" s="23">
        <v>2541.72</v>
      </c>
      <c r="X395" s="19">
        <v>2500.0</v>
      </c>
      <c r="Y395" s="19">
        <v>2400.0</v>
      </c>
      <c r="Z395" s="34">
        <f t="shared" si="1"/>
        <v>141.72</v>
      </c>
      <c r="AA395" s="15">
        <f t="shared" si="2"/>
        <v>-100</v>
      </c>
      <c r="AB395" s="19" t="s">
        <v>39</v>
      </c>
      <c r="AC395" s="17" t="s">
        <v>2298</v>
      </c>
    </row>
    <row r="396">
      <c r="A396" s="17">
        <v>394.0</v>
      </c>
      <c r="B396" s="20">
        <v>46024.0</v>
      </c>
      <c r="C396" s="17" t="s">
        <v>2299</v>
      </c>
      <c r="D396" s="18" t="s">
        <v>2300</v>
      </c>
      <c r="E396" s="19" t="s">
        <v>88</v>
      </c>
      <c r="F396" s="17" t="s">
        <v>2301</v>
      </c>
      <c r="G396" s="17" t="s">
        <v>2302</v>
      </c>
      <c r="H396" s="19" t="s">
        <v>2303</v>
      </c>
      <c r="I396" s="19" t="s">
        <v>2304</v>
      </c>
      <c r="J396" s="19" t="s">
        <v>33</v>
      </c>
      <c r="K396" s="17">
        <v>35000.0</v>
      </c>
      <c r="L396" s="17" t="s">
        <v>1804</v>
      </c>
      <c r="M396" s="19" t="s">
        <v>57</v>
      </c>
      <c r="N396" s="21" t="s">
        <v>58</v>
      </c>
      <c r="O396" s="19" t="s">
        <v>491</v>
      </c>
      <c r="P396" s="19" t="s">
        <v>60</v>
      </c>
      <c r="Q396" s="19" t="s">
        <v>38</v>
      </c>
      <c r="R396" s="22">
        <v>45902.0</v>
      </c>
      <c r="S396" s="19" t="s">
        <v>441</v>
      </c>
      <c r="T396" s="19" t="s">
        <v>1312</v>
      </c>
      <c r="U396" s="19" t="s">
        <v>33</v>
      </c>
      <c r="V396" s="23">
        <v>85984.0</v>
      </c>
      <c r="W396" s="23">
        <v>95731.0</v>
      </c>
      <c r="X396" s="19">
        <v>74553.0</v>
      </c>
      <c r="Y396" s="19">
        <v>74500.0</v>
      </c>
      <c r="Z396" s="34">
        <f t="shared" si="1"/>
        <v>21231</v>
      </c>
      <c r="AA396" s="15">
        <f t="shared" si="2"/>
        <v>-53</v>
      </c>
      <c r="AB396" s="19" t="s">
        <v>39</v>
      </c>
      <c r="AC396" s="17" t="s">
        <v>2305</v>
      </c>
    </row>
    <row r="397">
      <c r="A397" s="17">
        <v>395.0</v>
      </c>
      <c r="B397" s="20">
        <v>46024.0</v>
      </c>
      <c r="C397" s="17" t="s">
        <v>2306</v>
      </c>
      <c r="D397" s="17" t="s">
        <v>2307</v>
      </c>
      <c r="E397" s="19" t="s">
        <v>102</v>
      </c>
      <c r="F397" s="17" t="s">
        <v>111</v>
      </c>
      <c r="G397" s="17" t="s">
        <v>2308</v>
      </c>
      <c r="H397" s="19">
        <v>9.97885783E9</v>
      </c>
      <c r="I397" s="19">
        <v>9.316154047E9</v>
      </c>
      <c r="J397" s="19" t="s">
        <v>33</v>
      </c>
      <c r="K397" s="17">
        <v>236.0</v>
      </c>
      <c r="L397" s="17" t="s">
        <v>1804</v>
      </c>
      <c r="M397" s="19" t="s">
        <v>107</v>
      </c>
      <c r="N397" s="21" t="s">
        <v>58</v>
      </c>
      <c r="O397" s="19" t="s">
        <v>496</v>
      </c>
      <c r="P397" s="19" t="s">
        <v>60</v>
      </c>
      <c r="Q397" s="19" t="s">
        <v>38</v>
      </c>
      <c r="R397" s="19" t="s">
        <v>2309</v>
      </c>
      <c r="S397" s="19" t="s">
        <v>449</v>
      </c>
      <c r="T397" s="22">
        <v>47789.0</v>
      </c>
      <c r="U397" s="19" t="s">
        <v>33</v>
      </c>
      <c r="V397" s="19">
        <v>7338.0</v>
      </c>
      <c r="W397" s="19">
        <v>8659.0</v>
      </c>
      <c r="X397" s="19">
        <v>7500.0</v>
      </c>
      <c r="Y397" s="19">
        <v>6500.0</v>
      </c>
      <c r="Z397" s="57">
        <f t="shared" si="1"/>
        <v>2159</v>
      </c>
      <c r="AA397" s="15">
        <f t="shared" si="2"/>
        <v>-1000</v>
      </c>
      <c r="AB397" s="19" t="s">
        <v>39</v>
      </c>
      <c r="AC397" s="17" t="s">
        <v>2310</v>
      </c>
    </row>
    <row r="398">
      <c r="A398" s="17">
        <v>396.0</v>
      </c>
      <c r="B398" s="20">
        <v>46024.0</v>
      </c>
      <c r="C398" s="17" t="s">
        <v>2311</v>
      </c>
      <c r="D398" s="17" t="s">
        <v>2312</v>
      </c>
      <c r="E398" s="19" t="s">
        <v>52</v>
      </c>
      <c r="F398" s="17" t="s">
        <v>877</v>
      </c>
      <c r="G398" s="17" t="s">
        <v>2313</v>
      </c>
      <c r="H398" s="19">
        <v>9.265683085E9</v>
      </c>
      <c r="I398" s="19">
        <v>6.355468077E9</v>
      </c>
      <c r="J398" s="19" t="s">
        <v>105</v>
      </c>
      <c r="K398" s="17">
        <v>3460.0</v>
      </c>
      <c r="L398" s="17" t="s">
        <v>1804</v>
      </c>
      <c r="M398" s="19" t="s">
        <v>57</v>
      </c>
      <c r="N398" s="21" t="s">
        <v>58</v>
      </c>
      <c r="O398" s="19" t="s">
        <v>66</v>
      </c>
      <c r="P398" s="19" t="s">
        <v>79</v>
      </c>
      <c r="Q398" s="19" t="s">
        <v>38</v>
      </c>
      <c r="R398" s="19" t="s">
        <v>2314</v>
      </c>
      <c r="S398" s="19" t="s">
        <v>448</v>
      </c>
      <c r="T398" s="19" t="s">
        <v>2315</v>
      </c>
      <c r="U398" s="19" t="s">
        <v>33</v>
      </c>
      <c r="V398" s="23">
        <v>20485.0</v>
      </c>
      <c r="W398" s="23">
        <v>22075.0</v>
      </c>
      <c r="X398" s="19">
        <v>15919.0</v>
      </c>
      <c r="Y398" s="19">
        <v>16000.0</v>
      </c>
      <c r="Z398" s="34">
        <f t="shared" si="1"/>
        <v>6075</v>
      </c>
      <c r="AA398" s="15">
        <f t="shared" si="2"/>
        <v>81</v>
      </c>
      <c r="AB398" s="19" t="s">
        <v>39</v>
      </c>
      <c r="AC398" s="17" t="s">
        <v>2316</v>
      </c>
    </row>
    <row r="399">
      <c r="A399" s="35">
        <v>397.0</v>
      </c>
      <c r="B399" s="38">
        <v>46024.0</v>
      </c>
      <c r="C399" s="35" t="s">
        <v>2317</v>
      </c>
      <c r="D399" s="35" t="s">
        <v>2318</v>
      </c>
      <c r="E399" s="37" t="s">
        <v>52</v>
      </c>
      <c r="F399" s="35" t="s">
        <v>2319</v>
      </c>
      <c r="G399" s="35" t="s">
        <v>563</v>
      </c>
      <c r="H399" s="37" t="s">
        <v>2320</v>
      </c>
      <c r="I399" s="61"/>
      <c r="J399" s="37" t="s">
        <v>33</v>
      </c>
      <c r="K399" s="35">
        <v>2750.0</v>
      </c>
      <c r="L399" s="35" t="s">
        <v>1606</v>
      </c>
      <c r="M399" s="37" t="s">
        <v>92</v>
      </c>
      <c r="N399" s="39" t="s">
        <v>58</v>
      </c>
      <c r="O399" s="37" t="s">
        <v>66</v>
      </c>
      <c r="P399" s="37" t="s">
        <v>79</v>
      </c>
      <c r="Q399" s="37" t="s">
        <v>38</v>
      </c>
      <c r="R399" s="37" t="s">
        <v>2321</v>
      </c>
      <c r="S399" s="37" t="s">
        <v>2080</v>
      </c>
      <c r="T399" s="37" t="s">
        <v>33</v>
      </c>
      <c r="U399" s="37" t="s">
        <v>33</v>
      </c>
      <c r="V399" s="41">
        <v>17065.0</v>
      </c>
      <c r="W399" s="41">
        <v>18050.0</v>
      </c>
      <c r="X399" s="37">
        <v>13165.0</v>
      </c>
      <c r="Y399" s="37">
        <v>13000.0</v>
      </c>
      <c r="Z399" s="45">
        <f t="shared" si="1"/>
        <v>5050</v>
      </c>
      <c r="AA399" s="15">
        <f t="shared" si="2"/>
        <v>-165</v>
      </c>
      <c r="AB399" s="37" t="s">
        <v>39</v>
      </c>
      <c r="AC399" s="35" t="s">
        <v>2322</v>
      </c>
    </row>
    <row r="400">
      <c r="A400" s="17">
        <v>398.0</v>
      </c>
      <c r="B400" s="20">
        <v>46024.0</v>
      </c>
      <c r="C400" s="17" t="s">
        <v>2323</v>
      </c>
      <c r="D400" s="17" t="s">
        <v>2324</v>
      </c>
      <c r="E400" s="19" t="s">
        <v>75</v>
      </c>
      <c r="F400" s="17" t="s">
        <v>2325</v>
      </c>
      <c r="G400" s="17" t="s">
        <v>2326</v>
      </c>
      <c r="H400" s="19" t="s">
        <v>2327</v>
      </c>
      <c r="I400" s="19">
        <v>9.898333319E9</v>
      </c>
      <c r="J400" s="19" t="s">
        <v>33</v>
      </c>
      <c r="K400" s="17">
        <v>97.0</v>
      </c>
      <c r="L400" s="17" t="s">
        <v>1804</v>
      </c>
      <c r="M400" s="19" t="s">
        <v>574</v>
      </c>
      <c r="N400" s="21" t="s">
        <v>46</v>
      </c>
      <c r="O400" s="19" t="s">
        <v>36</v>
      </c>
      <c r="P400" s="19" t="s">
        <v>1492</v>
      </c>
      <c r="Q400" s="19" t="s">
        <v>38</v>
      </c>
      <c r="R400" s="19" t="s">
        <v>2328</v>
      </c>
      <c r="S400" s="19" t="s">
        <v>33</v>
      </c>
      <c r="T400" s="19" t="s">
        <v>33</v>
      </c>
      <c r="U400" s="19" t="s">
        <v>33</v>
      </c>
      <c r="V400" s="19">
        <v>714.0</v>
      </c>
      <c r="W400" s="19">
        <v>842.0</v>
      </c>
      <c r="X400" s="19">
        <v>850.0</v>
      </c>
      <c r="Y400" s="19">
        <v>850.0</v>
      </c>
      <c r="Z400" s="57">
        <f t="shared" si="1"/>
        <v>-8</v>
      </c>
      <c r="AA400" s="15">
        <f t="shared" si="2"/>
        <v>0</v>
      </c>
      <c r="AB400" s="19" t="s">
        <v>39</v>
      </c>
      <c r="AC400" s="17" t="s">
        <v>2329</v>
      </c>
    </row>
    <row r="401">
      <c r="A401" s="17">
        <v>399.0</v>
      </c>
      <c r="B401" s="20">
        <v>46024.0</v>
      </c>
      <c r="C401" s="17" t="s">
        <v>2330</v>
      </c>
      <c r="D401" s="17" t="s">
        <v>2331</v>
      </c>
      <c r="E401" s="19" t="s">
        <v>30</v>
      </c>
      <c r="F401" s="17" t="s">
        <v>2332</v>
      </c>
      <c r="G401" s="17" t="s">
        <v>2333</v>
      </c>
      <c r="H401" s="19">
        <v>9.033333157E9</v>
      </c>
      <c r="I401" s="19">
        <v>6.351000398E9</v>
      </c>
      <c r="J401" s="19" t="s">
        <v>33</v>
      </c>
      <c r="K401" s="17">
        <v>1493.0</v>
      </c>
      <c r="L401" s="60">
        <v>46570.0</v>
      </c>
      <c r="M401" s="19" t="s">
        <v>652</v>
      </c>
      <c r="N401" s="21" t="s">
        <v>35</v>
      </c>
      <c r="O401" s="19" t="s">
        <v>59</v>
      </c>
      <c r="P401" s="19" t="s">
        <v>37</v>
      </c>
      <c r="Q401" s="19" t="s">
        <v>38</v>
      </c>
      <c r="R401" s="22">
        <v>50984.0</v>
      </c>
      <c r="S401" s="22">
        <v>46569.0</v>
      </c>
      <c r="T401" s="19" t="s">
        <v>33</v>
      </c>
      <c r="U401" s="19" t="s">
        <v>33</v>
      </c>
      <c r="V401" s="23">
        <v>32341.0</v>
      </c>
      <c r="W401" s="23">
        <v>38162.0</v>
      </c>
      <c r="X401" s="19">
        <v>38162.0</v>
      </c>
      <c r="Y401" s="19">
        <v>38162.0</v>
      </c>
      <c r="Z401" s="34">
        <f t="shared" si="1"/>
        <v>0</v>
      </c>
      <c r="AA401" s="15">
        <f t="shared" si="2"/>
        <v>0</v>
      </c>
      <c r="AB401" s="19" t="s">
        <v>39</v>
      </c>
      <c r="AC401" s="17" t="s">
        <v>2334</v>
      </c>
    </row>
    <row r="402">
      <c r="A402" s="17">
        <v>400.0</v>
      </c>
      <c r="B402" s="20">
        <v>46024.0</v>
      </c>
      <c r="C402" s="17" t="s">
        <v>2335</v>
      </c>
      <c r="D402" s="17" t="s">
        <v>2336</v>
      </c>
      <c r="E402" s="19" t="s">
        <v>52</v>
      </c>
      <c r="F402" s="17" t="s">
        <v>2337</v>
      </c>
      <c r="G402" s="17" t="s">
        <v>2338</v>
      </c>
      <c r="H402" s="19">
        <v>9.72787202E9</v>
      </c>
      <c r="I402" s="19">
        <v>9.60166707E9</v>
      </c>
      <c r="J402" s="19" t="s">
        <v>105</v>
      </c>
      <c r="K402" s="17">
        <v>2180.0</v>
      </c>
      <c r="L402" s="60">
        <v>46509.0</v>
      </c>
      <c r="M402" s="19" t="s">
        <v>152</v>
      </c>
      <c r="N402" s="21" t="s">
        <v>58</v>
      </c>
      <c r="O402" s="19" t="s">
        <v>66</v>
      </c>
      <c r="P402" s="19" t="s">
        <v>60</v>
      </c>
      <c r="Q402" s="19" t="s">
        <v>38</v>
      </c>
      <c r="R402" s="22">
        <v>46601.0</v>
      </c>
      <c r="S402" s="22">
        <v>46061.0</v>
      </c>
      <c r="T402" s="19" t="s">
        <v>33</v>
      </c>
      <c r="U402" s="19" t="s">
        <v>33</v>
      </c>
      <c r="V402" s="23">
        <v>17207.5</v>
      </c>
      <c r="W402" s="23">
        <v>18218.0</v>
      </c>
      <c r="X402" s="19">
        <v>12207.0</v>
      </c>
      <c r="Y402" s="19">
        <v>12000.0</v>
      </c>
      <c r="Z402" s="34">
        <f t="shared" si="1"/>
        <v>6218</v>
      </c>
      <c r="AA402" s="15">
        <f t="shared" si="2"/>
        <v>-207</v>
      </c>
      <c r="AB402" s="19" t="s">
        <v>39</v>
      </c>
      <c r="AC402" s="17" t="s">
        <v>2339</v>
      </c>
    </row>
    <row r="403">
      <c r="A403" s="62">
        <v>401.0</v>
      </c>
      <c r="B403" s="20">
        <v>46055.0</v>
      </c>
      <c r="C403" s="17" t="s">
        <v>2340</v>
      </c>
      <c r="D403" s="17" t="s">
        <v>2341</v>
      </c>
      <c r="E403" s="19" t="s">
        <v>52</v>
      </c>
      <c r="F403" s="17" t="s">
        <v>2342</v>
      </c>
      <c r="G403" s="17" t="s">
        <v>2343</v>
      </c>
      <c r="H403" s="19">
        <v>7.567574397E9</v>
      </c>
      <c r="I403" s="19">
        <v>7.874834206E9</v>
      </c>
      <c r="J403" s="19" t="s">
        <v>33</v>
      </c>
      <c r="K403" s="17">
        <v>2950.0</v>
      </c>
      <c r="L403" s="17" t="s">
        <v>1804</v>
      </c>
      <c r="M403" s="19" t="s">
        <v>57</v>
      </c>
      <c r="N403" s="21" t="s">
        <v>58</v>
      </c>
      <c r="O403" s="19" t="s">
        <v>93</v>
      </c>
      <c r="P403" s="19" t="s">
        <v>60</v>
      </c>
      <c r="Q403" s="19" t="s">
        <v>38</v>
      </c>
      <c r="R403" s="19" t="s">
        <v>2344</v>
      </c>
      <c r="S403" s="22">
        <v>45509.0</v>
      </c>
      <c r="T403" s="19" t="s">
        <v>33</v>
      </c>
      <c r="U403" s="19" t="s">
        <v>33</v>
      </c>
      <c r="V403" s="23">
        <v>20369.0</v>
      </c>
      <c r="W403" s="23">
        <v>21937.0</v>
      </c>
      <c r="X403" s="19">
        <v>16300.0</v>
      </c>
      <c r="Y403" s="19">
        <v>15500.0</v>
      </c>
      <c r="Z403" s="34">
        <f t="shared" si="1"/>
        <v>6437</v>
      </c>
      <c r="AA403" s="63">
        <f t="shared" si="2"/>
        <v>-800</v>
      </c>
      <c r="AB403" s="19" t="s">
        <v>39</v>
      </c>
      <c r="AC403" s="17" t="s">
        <v>2345</v>
      </c>
    </row>
    <row r="404">
      <c r="A404" s="17">
        <v>402.0</v>
      </c>
      <c r="B404" s="20">
        <v>46083.0</v>
      </c>
      <c r="C404" s="17" t="s">
        <v>2346</v>
      </c>
      <c r="D404" s="17" t="s">
        <v>2347</v>
      </c>
      <c r="E404" s="19" t="s">
        <v>410</v>
      </c>
      <c r="F404" s="17" t="s">
        <v>2348</v>
      </c>
      <c r="G404" s="17" t="s">
        <v>2349</v>
      </c>
      <c r="H404" s="19">
        <v>9.723322662E9</v>
      </c>
      <c r="I404" s="19">
        <v>9.033546975E9</v>
      </c>
      <c r="J404" s="19" t="s">
        <v>33</v>
      </c>
      <c r="K404" s="17">
        <v>998.0</v>
      </c>
      <c r="L404" s="60">
        <v>46420.0</v>
      </c>
      <c r="M404" s="19" t="s">
        <v>107</v>
      </c>
      <c r="N404" s="21" t="s">
        <v>58</v>
      </c>
      <c r="O404" s="19" t="s">
        <v>431</v>
      </c>
      <c r="P404" s="19" t="s">
        <v>60</v>
      </c>
      <c r="Q404" s="19" t="s">
        <v>38</v>
      </c>
      <c r="R404" s="22">
        <v>45810.0</v>
      </c>
      <c r="S404" s="22">
        <v>46118.0</v>
      </c>
      <c r="T404" s="22">
        <v>46936.0</v>
      </c>
      <c r="U404" s="19" t="s">
        <v>33</v>
      </c>
      <c r="V404" s="17">
        <v>16211.0</v>
      </c>
      <c r="W404" s="17">
        <v>19129.0</v>
      </c>
      <c r="X404" s="19">
        <v>18726.0</v>
      </c>
      <c r="Y404" s="19">
        <v>18500.0</v>
      </c>
      <c r="Z404" s="57">
        <f t="shared" si="1"/>
        <v>629</v>
      </c>
      <c r="AA404" s="15">
        <f t="shared" si="2"/>
        <v>-226</v>
      </c>
      <c r="AB404" s="19" t="s">
        <v>39</v>
      </c>
      <c r="AC404" s="17" t="s">
        <v>2350</v>
      </c>
    </row>
    <row r="405">
      <c r="A405" s="17">
        <v>403.0</v>
      </c>
      <c r="B405" s="20">
        <v>46083.0</v>
      </c>
      <c r="C405" s="17" t="s">
        <v>2351</v>
      </c>
      <c r="D405" s="17" t="s">
        <v>2352</v>
      </c>
      <c r="E405" s="19" t="s">
        <v>52</v>
      </c>
      <c r="F405" s="17" t="s">
        <v>1316</v>
      </c>
      <c r="G405" s="17" t="s">
        <v>2353</v>
      </c>
      <c r="H405" s="19">
        <v>9.824261768E9</v>
      </c>
      <c r="I405" s="19">
        <v>9.714646024E9</v>
      </c>
      <c r="J405" s="19" t="s">
        <v>105</v>
      </c>
      <c r="K405" s="17">
        <v>3490.0</v>
      </c>
      <c r="L405" s="60">
        <v>46479.0</v>
      </c>
      <c r="M405" s="19" t="s">
        <v>57</v>
      </c>
      <c r="N405" s="21" t="s">
        <v>58</v>
      </c>
      <c r="O405" s="19" t="s">
        <v>66</v>
      </c>
      <c r="P405" s="19" t="s">
        <v>60</v>
      </c>
      <c r="Q405" s="19" t="s">
        <v>38</v>
      </c>
      <c r="R405" s="22">
        <v>46998.0</v>
      </c>
      <c r="S405" s="22">
        <v>46389.0</v>
      </c>
      <c r="T405" s="22">
        <v>46662.0</v>
      </c>
      <c r="U405" s="19" t="s">
        <v>33</v>
      </c>
      <c r="V405" s="64">
        <v>20293.0</v>
      </c>
      <c r="W405" s="64">
        <v>21847.0</v>
      </c>
      <c r="X405" s="19">
        <v>14391.0</v>
      </c>
      <c r="Y405" s="19">
        <v>14500.0</v>
      </c>
      <c r="Z405" s="34">
        <f t="shared" si="1"/>
        <v>7347</v>
      </c>
      <c r="AA405" s="15">
        <f t="shared" si="2"/>
        <v>109</v>
      </c>
      <c r="AB405" s="19" t="s">
        <v>39</v>
      </c>
      <c r="AC405" s="17" t="s">
        <v>2354</v>
      </c>
    </row>
    <row r="406">
      <c r="A406" s="17">
        <v>404.0</v>
      </c>
      <c r="B406" s="20">
        <v>46083.0</v>
      </c>
      <c r="C406" s="17" t="s">
        <v>2355</v>
      </c>
      <c r="D406" s="17" t="s">
        <v>2356</v>
      </c>
      <c r="E406" s="19" t="s">
        <v>52</v>
      </c>
      <c r="F406" s="17" t="s">
        <v>2357</v>
      </c>
      <c r="G406" s="17" t="s">
        <v>2358</v>
      </c>
      <c r="H406" s="19">
        <v>9.898070588E9</v>
      </c>
      <c r="I406" s="19">
        <v>7.990301381E9</v>
      </c>
      <c r="J406" s="19" t="s">
        <v>33</v>
      </c>
      <c r="K406" s="17">
        <v>1950.0</v>
      </c>
      <c r="L406" s="60">
        <v>46389.0</v>
      </c>
      <c r="M406" s="19" t="s">
        <v>152</v>
      </c>
      <c r="N406" s="21" t="s">
        <v>58</v>
      </c>
      <c r="O406" s="19" t="s">
        <v>198</v>
      </c>
      <c r="P406" s="19" t="s">
        <v>60</v>
      </c>
      <c r="Q406" s="19" t="s">
        <v>38</v>
      </c>
      <c r="R406" s="22">
        <v>45668.0</v>
      </c>
      <c r="S406" s="22">
        <v>45302.0</v>
      </c>
      <c r="T406" s="19" t="s">
        <v>33</v>
      </c>
      <c r="U406" s="19" t="s">
        <v>33</v>
      </c>
      <c r="V406" s="64">
        <v>21350.56</v>
      </c>
      <c r="W406" s="64">
        <v>23107.0</v>
      </c>
      <c r="X406" s="19">
        <v>13482.0</v>
      </c>
      <c r="Y406" s="19">
        <v>13000.0</v>
      </c>
      <c r="Z406" s="34">
        <f t="shared" si="1"/>
        <v>10107</v>
      </c>
      <c r="AA406" s="15">
        <f t="shared" si="2"/>
        <v>-482</v>
      </c>
      <c r="AB406" s="19" t="s">
        <v>39</v>
      </c>
      <c r="AC406" s="47" t="s">
        <v>2359</v>
      </c>
    </row>
    <row r="407">
      <c r="A407" s="17">
        <v>405.0</v>
      </c>
      <c r="B407" s="20">
        <v>46083.0</v>
      </c>
      <c r="C407" s="17" t="s">
        <v>2360</v>
      </c>
      <c r="D407" s="17" t="s">
        <v>2361</v>
      </c>
      <c r="E407" s="19" t="s">
        <v>52</v>
      </c>
      <c r="F407" s="17" t="s">
        <v>1761</v>
      </c>
      <c r="G407" s="17" t="s">
        <v>2362</v>
      </c>
      <c r="H407" s="19">
        <v>9.099175324E9</v>
      </c>
      <c r="I407" s="19">
        <v>6.355513367E9</v>
      </c>
      <c r="J407" s="19" t="s">
        <v>33</v>
      </c>
      <c r="K407" s="17">
        <v>1600.0</v>
      </c>
      <c r="L407" s="60">
        <v>46389.0</v>
      </c>
      <c r="M407" s="19" t="s">
        <v>189</v>
      </c>
      <c r="N407" s="21" t="s">
        <v>58</v>
      </c>
      <c r="O407" s="19" t="s">
        <v>431</v>
      </c>
      <c r="P407" s="19" t="s">
        <v>79</v>
      </c>
      <c r="Q407" s="19" t="s">
        <v>38</v>
      </c>
      <c r="R407" s="22">
        <v>46242.0</v>
      </c>
      <c r="S407" s="19" t="s">
        <v>2363</v>
      </c>
      <c r="T407" s="19" t="s">
        <v>33</v>
      </c>
      <c r="U407" s="19" t="s">
        <v>33</v>
      </c>
      <c r="V407" s="17">
        <v>19865.0</v>
      </c>
      <c r="W407" s="17">
        <v>21354.0</v>
      </c>
      <c r="X407" s="19">
        <v>13591.0</v>
      </c>
      <c r="Y407" s="19">
        <v>13500.0</v>
      </c>
      <c r="Z407" s="57">
        <f t="shared" si="1"/>
        <v>7854</v>
      </c>
      <c r="AA407" s="15">
        <f t="shared" si="2"/>
        <v>-91</v>
      </c>
      <c r="AB407" s="19" t="s">
        <v>39</v>
      </c>
      <c r="AC407" s="17" t="s">
        <v>2364</v>
      </c>
    </row>
    <row r="408">
      <c r="A408" s="17">
        <v>406.0</v>
      </c>
      <c r="B408" s="20">
        <v>46083.0</v>
      </c>
      <c r="C408" s="17" t="s">
        <v>2365</v>
      </c>
      <c r="D408" s="17" t="s">
        <v>2366</v>
      </c>
      <c r="E408" s="19" t="s">
        <v>410</v>
      </c>
      <c r="F408" s="17" t="s">
        <v>1995</v>
      </c>
      <c r="G408" s="17" t="s">
        <v>2367</v>
      </c>
      <c r="H408" s="19">
        <v>9.512455004E9</v>
      </c>
      <c r="I408" s="19">
        <v>6.352811347E9</v>
      </c>
      <c r="J408" s="19" t="s">
        <v>33</v>
      </c>
      <c r="K408" s="17">
        <v>1493.0</v>
      </c>
      <c r="L408" s="60">
        <v>46389.0</v>
      </c>
      <c r="M408" s="19" t="s">
        <v>107</v>
      </c>
      <c r="N408" s="21" t="s">
        <v>58</v>
      </c>
      <c r="O408" s="19" t="s">
        <v>93</v>
      </c>
      <c r="P408" s="19" t="s">
        <v>60</v>
      </c>
      <c r="Q408" s="19" t="s">
        <v>38</v>
      </c>
      <c r="R408" s="19" t="s">
        <v>449</v>
      </c>
      <c r="S408" s="22">
        <v>46267.0</v>
      </c>
      <c r="T408" s="22">
        <v>47738.0</v>
      </c>
      <c r="U408" s="19" t="s">
        <v>33</v>
      </c>
      <c r="V408" s="17">
        <v>28779.0</v>
      </c>
      <c r="W408" s="17">
        <v>33959.0</v>
      </c>
      <c r="X408" s="19">
        <v>29737.0</v>
      </c>
      <c r="Y408" s="19">
        <v>28700.0</v>
      </c>
      <c r="Z408" s="57">
        <f t="shared" si="1"/>
        <v>5259</v>
      </c>
      <c r="AA408" s="15">
        <f t="shared" si="2"/>
        <v>-1037</v>
      </c>
      <c r="AB408" s="19" t="s">
        <v>39</v>
      </c>
      <c r="AC408" s="47" t="s">
        <v>2368</v>
      </c>
    </row>
    <row r="409">
      <c r="A409" s="17">
        <v>407.0</v>
      </c>
      <c r="B409" s="20">
        <v>46083.0</v>
      </c>
      <c r="C409" s="17" t="s">
        <v>2369</v>
      </c>
      <c r="D409" s="17" t="s">
        <v>2370</v>
      </c>
      <c r="E409" s="19" t="s">
        <v>88</v>
      </c>
      <c r="F409" s="17" t="s">
        <v>2371</v>
      </c>
      <c r="G409" s="17" t="s">
        <v>2372</v>
      </c>
      <c r="H409" s="19">
        <v>9.714482399E9</v>
      </c>
      <c r="I409" s="19">
        <v>9.979728033E9</v>
      </c>
      <c r="J409" s="19" t="s">
        <v>33</v>
      </c>
      <c r="K409" s="17">
        <v>35000.0</v>
      </c>
      <c r="L409" s="60">
        <v>46420.0</v>
      </c>
      <c r="M409" s="19" t="s">
        <v>57</v>
      </c>
      <c r="N409" s="21" t="s">
        <v>58</v>
      </c>
      <c r="O409" s="19" t="s">
        <v>66</v>
      </c>
      <c r="P409" s="19" t="s">
        <v>60</v>
      </c>
      <c r="Q409" s="19" t="s">
        <v>38</v>
      </c>
      <c r="R409" s="22">
        <v>46205.0</v>
      </c>
      <c r="S409" s="19" t="s">
        <v>2373</v>
      </c>
      <c r="T409" s="19" t="s">
        <v>2374</v>
      </c>
      <c r="U409" s="19" t="s">
        <v>33</v>
      </c>
      <c r="V409" s="64">
        <v>47606.0</v>
      </c>
      <c r="W409" s="64">
        <v>50450.0</v>
      </c>
      <c r="X409" s="19">
        <v>40262.0</v>
      </c>
      <c r="Y409" s="19">
        <v>39000.0</v>
      </c>
      <c r="Z409" s="34">
        <f t="shared" si="1"/>
        <v>11450</v>
      </c>
      <c r="AA409" s="15">
        <f t="shared" si="2"/>
        <v>-1262</v>
      </c>
      <c r="AB409" s="19" t="s">
        <v>39</v>
      </c>
      <c r="AC409" s="17" t="s">
        <v>2375</v>
      </c>
    </row>
    <row r="410">
      <c r="A410" s="35">
        <v>408.0</v>
      </c>
      <c r="B410" s="38">
        <v>46083.0</v>
      </c>
      <c r="C410" s="35" t="s">
        <v>2376</v>
      </c>
      <c r="D410" s="35" t="s">
        <v>2377</v>
      </c>
      <c r="E410" s="37" t="s">
        <v>2378</v>
      </c>
      <c r="F410" s="35" t="s">
        <v>2379</v>
      </c>
      <c r="G410" s="35" t="s">
        <v>2380</v>
      </c>
      <c r="H410" s="37" t="s">
        <v>2381</v>
      </c>
      <c r="I410" s="61"/>
      <c r="J410" s="37" t="s">
        <v>33</v>
      </c>
      <c r="K410" s="35">
        <v>16200.0</v>
      </c>
      <c r="L410" s="37" t="s">
        <v>2382</v>
      </c>
      <c r="M410" s="37" t="s">
        <v>92</v>
      </c>
      <c r="N410" s="39" t="s">
        <v>58</v>
      </c>
      <c r="O410" s="37" t="s">
        <v>36</v>
      </c>
      <c r="P410" s="37" t="s">
        <v>79</v>
      </c>
      <c r="Q410" s="37" t="s">
        <v>38</v>
      </c>
      <c r="R410" s="43">
        <v>46480.0</v>
      </c>
      <c r="S410" s="43">
        <v>46064.0</v>
      </c>
      <c r="T410" s="43">
        <v>47211.0</v>
      </c>
      <c r="U410" s="37" t="s">
        <v>33</v>
      </c>
      <c r="V410" s="65">
        <v>69364.0</v>
      </c>
      <c r="W410" s="65">
        <v>81850.0</v>
      </c>
      <c r="X410" s="37">
        <v>55000.0</v>
      </c>
      <c r="Y410" s="37">
        <v>55000.0</v>
      </c>
      <c r="Z410" s="45">
        <f t="shared" si="1"/>
        <v>26850</v>
      </c>
      <c r="AA410" s="15">
        <f t="shared" si="2"/>
        <v>0</v>
      </c>
      <c r="AB410" s="61"/>
      <c r="AC410" s="35" t="s">
        <v>2383</v>
      </c>
    </row>
    <row r="411">
      <c r="A411" s="35">
        <v>409.0</v>
      </c>
      <c r="B411" s="38">
        <v>46083.0</v>
      </c>
      <c r="C411" s="35" t="s">
        <v>2384</v>
      </c>
      <c r="D411" s="35" t="s">
        <v>2385</v>
      </c>
      <c r="E411" s="37" t="s">
        <v>2378</v>
      </c>
      <c r="F411" s="35" t="s">
        <v>2379</v>
      </c>
      <c r="G411" s="35" t="s">
        <v>2380</v>
      </c>
      <c r="H411" s="37" t="s">
        <v>2381</v>
      </c>
      <c r="I411" s="61"/>
      <c r="J411" s="37" t="s">
        <v>33</v>
      </c>
      <c r="K411" s="37">
        <v>16200.0</v>
      </c>
      <c r="L411" s="38">
        <v>46693.0</v>
      </c>
      <c r="M411" s="37" t="s">
        <v>92</v>
      </c>
      <c r="N411" s="39" t="s">
        <v>58</v>
      </c>
      <c r="O411" s="37" t="s">
        <v>36</v>
      </c>
      <c r="P411" s="37" t="s">
        <v>79</v>
      </c>
      <c r="Q411" s="37" t="s">
        <v>38</v>
      </c>
      <c r="R411" s="37" t="s">
        <v>2386</v>
      </c>
      <c r="S411" s="43">
        <v>46064.0</v>
      </c>
      <c r="T411" s="37" t="s">
        <v>440</v>
      </c>
      <c r="U411" s="37" t="s">
        <v>33</v>
      </c>
      <c r="V411" s="65">
        <v>69598.0</v>
      </c>
      <c r="W411" s="65">
        <v>82126.0</v>
      </c>
      <c r="X411" s="37">
        <v>55000.0</v>
      </c>
      <c r="Y411" s="37">
        <v>55000.0</v>
      </c>
      <c r="Z411" s="45">
        <f t="shared" si="1"/>
        <v>27126</v>
      </c>
      <c r="AA411" s="15">
        <f t="shared" si="2"/>
        <v>0</v>
      </c>
      <c r="AB411" s="61"/>
      <c r="AC411" s="35" t="s">
        <v>2387</v>
      </c>
    </row>
    <row r="412">
      <c r="A412" s="35">
        <v>410.0</v>
      </c>
      <c r="B412" s="38">
        <v>46083.0</v>
      </c>
      <c r="C412" s="35" t="s">
        <v>2388</v>
      </c>
      <c r="D412" s="35" t="s">
        <v>2389</v>
      </c>
      <c r="E412" s="37" t="s">
        <v>2378</v>
      </c>
      <c r="F412" s="35" t="s">
        <v>2379</v>
      </c>
      <c r="G412" s="35" t="s">
        <v>2380</v>
      </c>
      <c r="H412" s="37" t="s">
        <v>2381</v>
      </c>
      <c r="I412" s="61"/>
      <c r="J412" s="37" t="s">
        <v>33</v>
      </c>
      <c r="K412" s="35">
        <v>16200.0</v>
      </c>
      <c r="L412" s="37" t="s">
        <v>2382</v>
      </c>
      <c r="M412" s="37" t="s">
        <v>92</v>
      </c>
      <c r="N412" s="39" t="s">
        <v>58</v>
      </c>
      <c r="O412" s="37" t="s">
        <v>36</v>
      </c>
      <c r="P412" s="37" t="s">
        <v>79</v>
      </c>
      <c r="Q412" s="37" t="s">
        <v>38</v>
      </c>
      <c r="R412" s="43">
        <v>46480.0</v>
      </c>
      <c r="S412" s="43">
        <v>46064.0</v>
      </c>
      <c r="T412" s="43">
        <v>47211.0</v>
      </c>
      <c r="U412" s="37" t="s">
        <v>33</v>
      </c>
      <c r="V412" s="65">
        <v>69910.0</v>
      </c>
      <c r="W412" s="65">
        <v>82494.0</v>
      </c>
      <c r="X412" s="37">
        <v>55000.0</v>
      </c>
      <c r="Y412" s="37">
        <v>55000.0</v>
      </c>
      <c r="Z412" s="45">
        <f t="shared" si="1"/>
        <v>27494</v>
      </c>
      <c r="AA412" s="15">
        <f t="shared" si="2"/>
        <v>0</v>
      </c>
      <c r="AB412" s="61"/>
      <c r="AC412" s="35" t="s">
        <v>2383</v>
      </c>
    </row>
    <row r="413">
      <c r="A413" s="35">
        <v>411.0</v>
      </c>
      <c r="B413" s="38">
        <v>46083.0</v>
      </c>
      <c r="C413" s="35" t="s">
        <v>2390</v>
      </c>
      <c r="D413" s="35" t="s">
        <v>2391</v>
      </c>
      <c r="E413" s="37" t="s">
        <v>2378</v>
      </c>
      <c r="F413" s="35" t="s">
        <v>2379</v>
      </c>
      <c r="G413" s="35" t="s">
        <v>2380</v>
      </c>
      <c r="H413" s="37" t="s">
        <v>2381</v>
      </c>
      <c r="I413" s="61"/>
      <c r="J413" s="37" t="s">
        <v>33</v>
      </c>
      <c r="K413" s="37">
        <v>16200.0</v>
      </c>
      <c r="L413" s="38">
        <v>46724.0</v>
      </c>
      <c r="M413" s="37" t="s">
        <v>92</v>
      </c>
      <c r="N413" s="39" t="s">
        <v>58</v>
      </c>
      <c r="O413" s="37" t="s">
        <v>36</v>
      </c>
      <c r="P413" s="37" t="s">
        <v>79</v>
      </c>
      <c r="Q413" s="37" t="s">
        <v>38</v>
      </c>
      <c r="R413" s="37" t="s">
        <v>2392</v>
      </c>
      <c r="S413" s="43">
        <v>46064.0</v>
      </c>
      <c r="T413" s="37" t="s">
        <v>316</v>
      </c>
      <c r="U413" s="37" t="s">
        <v>33</v>
      </c>
      <c r="V413" s="65">
        <v>69527.0</v>
      </c>
      <c r="W413" s="65">
        <v>82042.0</v>
      </c>
      <c r="X413" s="37">
        <v>55000.0</v>
      </c>
      <c r="Y413" s="37">
        <v>55000.0</v>
      </c>
      <c r="Z413" s="45">
        <f t="shared" si="1"/>
        <v>27042</v>
      </c>
      <c r="AA413" s="15">
        <f t="shared" si="2"/>
        <v>0</v>
      </c>
      <c r="AB413" s="61"/>
      <c r="AC413" s="35" t="s">
        <v>2387</v>
      </c>
    </row>
    <row r="414">
      <c r="A414" s="17">
        <v>412.0</v>
      </c>
      <c r="B414" s="20">
        <v>46114.0</v>
      </c>
      <c r="C414" s="66" t="s">
        <v>514</v>
      </c>
      <c r="D414" s="66" t="s">
        <v>2393</v>
      </c>
      <c r="E414" s="19" t="s">
        <v>88</v>
      </c>
      <c r="F414" s="66" t="s">
        <v>328</v>
      </c>
      <c r="G414" s="66" t="s">
        <v>2394</v>
      </c>
      <c r="H414" s="19">
        <v>9.82502478E9</v>
      </c>
      <c r="I414" s="19">
        <v>9.72312478E9</v>
      </c>
      <c r="J414" s="19" t="s">
        <v>33</v>
      </c>
      <c r="K414" s="19">
        <v>12990.0</v>
      </c>
      <c r="L414" s="60">
        <v>46420.0</v>
      </c>
      <c r="M414" s="19" t="s">
        <v>152</v>
      </c>
      <c r="N414" s="21" t="s">
        <v>58</v>
      </c>
      <c r="O414" s="19" t="s">
        <v>66</v>
      </c>
      <c r="P414" s="19" t="s">
        <v>60</v>
      </c>
      <c r="Q414" s="19" t="s">
        <v>38</v>
      </c>
      <c r="R414" s="22">
        <v>46661.0</v>
      </c>
      <c r="S414" s="19" t="s">
        <v>518</v>
      </c>
      <c r="T414" s="19" t="s">
        <v>519</v>
      </c>
      <c r="U414" s="19" t="s">
        <v>33</v>
      </c>
      <c r="V414" s="67">
        <v>37562.98</v>
      </c>
      <c r="W414" s="67">
        <v>39734.0</v>
      </c>
      <c r="X414" s="19">
        <v>33287.0</v>
      </c>
      <c r="Y414" s="19">
        <v>33000.0</v>
      </c>
      <c r="Z414" s="34">
        <f t="shared" si="1"/>
        <v>6734</v>
      </c>
      <c r="AA414" s="15">
        <f t="shared" si="2"/>
        <v>-287</v>
      </c>
      <c r="AB414" s="19" t="s">
        <v>39</v>
      </c>
      <c r="AC414" s="66" t="s">
        <v>2395</v>
      </c>
    </row>
    <row r="415">
      <c r="A415" s="68">
        <v>413.0</v>
      </c>
      <c r="B415" s="38">
        <v>46144.0</v>
      </c>
      <c r="C415" s="68" t="s">
        <v>2396</v>
      </c>
      <c r="D415" s="68" t="s">
        <v>2397</v>
      </c>
      <c r="E415" s="37" t="s">
        <v>2378</v>
      </c>
      <c r="F415" s="68" t="s">
        <v>2379</v>
      </c>
      <c r="G415" s="68" t="s">
        <v>2380</v>
      </c>
      <c r="H415" s="37" t="s">
        <v>2381</v>
      </c>
      <c r="I415" s="37" t="s">
        <v>33</v>
      </c>
      <c r="J415" s="37" t="s">
        <v>33</v>
      </c>
      <c r="K415" s="37">
        <v>16200.0</v>
      </c>
      <c r="L415" s="37" t="s">
        <v>2382</v>
      </c>
      <c r="M415" s="37" t="s">
        <v>92</v>
      </c>
      <c r="N415" s="39" t="s">
        <v>58</v>
      </c>
      <c r="O415" s="37" t="s">
        <v>36</v>
      </c>
      <c r="P415" s="37" t="s">
        <v>79</v>
      </c>
      <c r="Q415" s="37" t="s">
        <v>38</v>
      </c>
      <c r="R415" s="43">
        <v>46541.0</v>
      </c>
      <c r="S415" s="43">
        <v>46064.0</v>
      </c>
      <c r="T415" s="43">
        <v>47272.0</v>
      </c>
      <c r="U415" s="37" t="s">
        <v>33</v>
      </c>
      <c r="V415" s="69">
        <v>70553.0</v>
      </c>
      <c r="W415" s="69">
        <v>83253.0</v>
      </c>
      <c r="X415" s="37">
        <v>55000.0</v>
      </c>
      <c r="Y415" s="37">
        <v>55000.0</v>
      </c>
      <c r="Z415" s="45">
        <f t="shared" si="1"/>
        <v>28253</v>
      </c>
      <c r="AA415" s="15">
        <f t="shared" si="2"/>
        <v>0</v>
      </c>
      <c r="AB415" s="61"/>
      <c r="AC415" s="68" t="s">
        <v>2383</v>
      </c>
    </row>
    <row r="416">
      <c r="A416" s="35">
        <v>414.0</v>
      </c>
      <c r="B416" s="38">
        <v>46144.0</v>
      </c>
      <c r="C416" s="68" t="s">
        <v>2398</v>
      </c>
      <c r="D416" s="68" t="s">
        <v>2399</v>
      </c>
      <c r="E416" s="37" t="s">
        <v>2378</v>
      </c>
      <c r="F416" s="68" t="s">
        <v>2379</v>
      </c>
      <c r="G416" s="68" t="s">
        <v>2380</v>
      </c>
      <c r="H416" s="37" t="s">
        <v>2381</v>
      </c>
      <c r="I416" s="37" t="s">
        <v>33</v>
      </c>
      <c r="J416" s="37" t="s">
        <v>33</v>
      </c>
      <c r="K416" s="37">
        <v>16200.0</v>
      </c>
      <c r="L416" s="37" t="s">
        <v>2382</v>
      </c>
      <c r="M416" s="37" t="s">
        <v>92</v>
      </c>
      <c r="N416" s="39" t="s">
        <v>58</v>
      </c>
      <c r="O416" s="37" t="s">
        <v>36</v>
      </c>
      <c r="P416" s="37" t="s">
        <v>79</v>
      </c>
      <c r="Q416" s="37" t="s">
        <v>38</v>
      </c>
      <c r="R416" s="43">
        <v>46480.0</v>
      </c>
      <c r="S416" s="43">
        <v>46064.0</v>
      </c>
      <c r="T416" s="43">
        <v>47211.0</v>
      </c>
      <c r="U416" s="37" t="s">
        <v>33</v>
      </c>
      <c r="V416" s="69">
        <v>69364.0</v>
      </c>
      <c r="W416" s="69">
        <v>81850.0</v>
      </c>
      <c r="X416" s="37">
        <v>55000.0</v>
      </c>
      <c r="Y416" s="37">
        <v>55000.0</v>
      </c>
      <c r="Z416" s="45">
        <f t="shared" si="1"/>
        <v>26850</v>
      </c>
      <c r="AA416" s="15">
        <f t="shared" si="2"/>
        <v>0</v>
      </c>
      <c r="AB416" s="61"/>
      <c r="AC416" s="68" t="s">
        <v>2400</v>
      </c>
    </row>
    <row r="417">
      <c r="A417" s="35">
        <v>415.0</v>
      </c>
      <c r="B417" s="38">
        <v>46144.0</v>
      </c>
      <c r="C417" s="68" t="s">
        <v>2401</v>
      </c>
      <c r="D417" s="68" t="s">
        <v>2402</v>
      </c>
      <c r="E417" s="37" t="s">
        <v>2378</v>
      </c>
      <c r="F417" s="68" t="s">
        <v>2379</v>
      </c>
      <c r="G417" s="68" t="s">
        <v>2380</v>
      </c>
      <c r="H417" s="37" t="s">
        <v>2381</v>
      </c>
      <c r="I417" s="37" t="s">
        <v>33</v>
      </c>
      <c r="J417" s="37" t="s">
        <v>33</v>
      </c>
      <c r="K417" s="37">
        <v>16200.0</v>
      </c>
      <c r="L417" s="38">
        <v>46693.0</v>
      </c>
      <c r="M417" s="37" t="s">
        <v>92</v>
      </c>
      <c r="N417" s="39" t="s">
        <v>58</v>
      </c>
      <c r="O417" s="37" t="s">
        <v>36</v>
      </c>
      <c r="P417" s="37" t="s">
        <v>79</v>
      </c>
      <c r="Q417" s="37" t="s">
        <v>38</v>
      </c>
      <c r="R417" s="37" t="s">
        <v>2386</v>
      </c>
      <c r="S417" s="43">
        <v>46064.0</v>
      </c>
      <c r="T417" s="37" t="s">
        <v>440</v>
      </c>
      <c r="U417" s="37" t="s">
        <v>33</v>
      </c>
      <c r="V417" s="70">
        <v>69527.0</v>
      </c>
      <c r="W417" s="69">
        <v>82042.0</v>
      </c>
      <c r="X417" s="37">
        <v>55000.0</v>
      </c>
      <c r="Y417" s="37">
        <v>55000.0</v>
      </c>
      <c r="Z417" s="45">
        <f t="shared" si="1"/>
        <v>27042</v>
      </c>
      <c r="AA417" s="15">
        <f t="shared" si="2"/>
        <v>0</v>
      </c>
      <c r="AB417" s="61"/>
      <c r="AC417" s="68" t="s">
        <v>2400</v>
      </c>
    </row>
    <row r="418">
      <c r="A418" s="35">
        <v>416.0</v>
      </c>
      <c r="B418" s="38">
        <v>46144.0</v>
      </c>
      <c r="C418" s="68" t="s">
        <v>2403</v>
      </c>
      <c r="D418" s="68" t="s">
        <v>2404</v>
      </c>
      <c r="E418" s="37" t="s">
        <v>2378</v>
      </c>
      <c r="F418" s="68" t="s">
        <v>2379</v>
      </c>
      <c r="G418" s="68" t="s">
        <v>2380</v>
      </c>
      <c r="H418" s="37" t="s">
        <v>2381</v>
      </c>
      <c r="I418" s="37" t="s">
        <v>33</v>
      </c>
      <c r="J418" s="37" t="s">
        <v>33</v>
      </c>
      <c r="K418" s="37">
        <v>16200.0</v>
      </c>
      <c r="L418" s="37" t="s">
        <v>2382</v>
      </c>
      <c r="M418" s="37" t="s">
        <v>92</v>
      </c>
      <c r="N418" s="39" t="s">
        <v>58</v>
      </c>
      <c r="O418" s="37" t="s">
        <v>36</v>
      </c>
      <c r="P418" s="37" t="s">
        <v>79</v>
      </c>
      <c r="Q418" s="37" t="s">
        <v>38</v>
      </c>
      <c r="R418" s="43">
        <v>46480.0</v>
      </c>
      <c r="S418" s="43">
        <v>46064.0</v>
      </c>
      <c r="T418" s="43">
        <v>47211.0</v>
      </c>
      <c r="U418" s="37" t="s">
        <v>33</v>
      </c>
      <c r="V418" s="69">
        <v>69637.0</v>
      </c>
      <c r="W418" s="69">
        <v>82172.0</v>
      </c>
      <c r="X418" s="37">
        <v>55000.0</v>
      </c>
      <c r="Y418" s="37">
        <v>55000.0</v>
      </c>
      <c r="Z418" s="45">
        <f t="shared" si="1"/>
        <v>27172</v>
      </c>
      <c r="AA418" s="15">
        <f t="shared" si="2"/>
        <v>0</v>
      </c>
      <c r="AB418" s="61"/>
      <c r="AC418" s="68" t="s">
        <v>2405</v>
      </c>
    </row>
    <row r="419">
      <c r="A419" s="17">
        <v>417.0</v>
      </c>
      <c r="B419" s="20">
        <v>46144.0</v>
      </c>
      <c r="C419" s="66" t="s">
        <v>2406</v>
      </c>
      <c r="D419" s="66" t="s">
        <v>2407</v>
      </c>
      <c r="E419" s="19" t="s">
        <v>30</v>
      </c>
      <c r="F419" s="66" t="s">
        <v>2408</v>
      </c>
      <c r="G419" s="66" t="s">
        <v>2409</v>
      </c>
      <c r="H419" s="19">
        <v>9.998843001E9</v>
      </c>
      <c r="I419" s="19">
        <v>9.904126645E9</v>
      </c>
      <c r="J419" s="19" t="s">
        <v>33</v>
      </c>
      <c r="K419" s="19">
        <v>1086.0</v>
      </c>
      <c r="L419" s="20">
        <v>46479.0</v>
      </c>
      <c r="M419" s="29" t="s">
        <v>574</v>
      </c>
      <c r="N419" s="21" t="s">
        <v>46</v>
      </c>
      <c r="O419" s="19" t="s">
        <v>431</v>
      </c>
      <c r="P419" s="19" t="s">
        <v>1492</v>
      </c>
      <c r="Q419" s="19" t="s">
        <v>38</v>
      </c>
      <c r="R419" s="19" t="s">
        <v>2410</v>
      </c>
      <c r="S419" s="22">
        <v>45759.0</v>
      </c>
      <c r="T419" s="19" t="s">
        <v>33</v>
      </c>
      <c r="U419" s="19" t="s">
        <v>33</v>
      </c>
      <c r="V419" s="71">
        <v>3416.0</v>
      </c>
      <c r="W419" s="71">
        <v>4030.88</v>
      </c>
      <c r="X419" s="19">
        <v>4000.0</v>
      </c>
      <c r="Y419" s="19">
        <v>4000.0</v>
      </c>
      <c r="Z419" s="57">
        <f t="shared" si="1"/>
        <v>30.88</v>
      </c>
      <c r="AA419" s="15">
        <f t="shared" si="2"/>
        <v>0</v>
      </c>
      <c r="AB419" s="19" t="s">
        <v>39</v>
      </c>
      <c r="AC419" s="66" t="s">
        <v>2411</v>
      </c>
    </row>
    <row r="420">
      <c r="A420" s="17">
        <v>418.0</v>
      </c>
      <c r="B420" s="20">
        <v>46144.0</v>
      </c>
      <c r="C420" s="66" t="s">
        <v>2412</v>
      </c>
      <c r="D420" s="66" t="s">
        <v>2413</v>
      </c>
      <c r="E420" s="19" t="s">
        <v>167</v>
      </c>
      <c r="F420" s="66" t="s">
        <v>222</v>
      </c>
      <c r="G420" s="66" t="s">
        <v>2414</v>
      </c>
      <c r="H420" s="19" t="s">
        <v>2415</v>
      </c>
      <c r="I420" s="19">
        <v>9.106035681E9</v>
      </c>
      <c r="J420" s="19" t="s">
        <v>2416</v>
      </c>
      <c r="K420" s="19">
        <v>995.0</v>
      </c>
      <c r="L420" s="20">
        <v>46479.0</v>
      </c>
      <c r="M420" s="19" t="s">
        <v>224</v>
      </c>
      <c r="N420" s="21" t="s">
        <v>58</v>
      </c>
      <c r="O420" s="19" t="s">
        <v>66</v>
      </c>
      <c r="P420" s="19" t="s">
        <v>79</v>
      </c>
      <c r="Q420" s="19" t="s">
        <v>38</v>
      </c>
      <c r="R420" s="22">
        <v>46936.0</v>
      </c>
      <c r="S420" s="22">
        <v>46420.0</v>
      </c>
      <c r="T420" s="19" t="s">
        <v>33</v>
      </c>
      <c r="U420" s="19" t="s">
        <v>33</v>
      </c>
      <c r="V420" s="67">
        <v>5763.0</v>
      </c>
      <c r="W420" s="67">
        <v>6209.0</v>
      </c>
      <c r="X420" s="19">
        <v>5000.0</v>
      </c>
      <c r="Y420" s="19">
        <v>5000.0</v>
      </c>
      <c r="Z420" s="34">
        <f t="shared" si="1"/>
        <v>1209</v>
      </c>
      <c r="AA420" s="15">
        <f t="shared" si="2"/>
        <v>0</v>
      </c>
      <c r="AB420" s="19" t="s">
        <v>39</v>
      </c>
      <c r="AC420" s="66" t="s">
        <v>2417</v>
      </c>
    </row>
    <row r="421">
      <c r="A421" s="17">
        <v>419.0</v>
      </c>
      <c r="B421" s="20">
        <v>46144.0</v>
      </c>
      <c r="C421" s="66" t="s">
        <v>2418</v>
      </c>
      <c r="D421" s="66" t="s">
        <v>2419</v>
      </c>
      <c r="E421" s="19" t="s">
        <v>102</v>
      </c>
      <c r="F421" s="66" t="s">
        <v>111</v>
      </c>
      <c r="G421" s="66" t="s">
        <v>2420</v>
      </c>
      <c r="H421" s="19">
        <v>6.352062252E9</v>
      </c>
      <c r="I421" s="19">
        <v>9.104747E9</v>
      </c>
      <c r="J421" s="19" t="s">
        <v>33</v>
      </c>
      <c r="K421" s="19">
        <v>818.0</v>
      </c>
      <c r="L421" s="20">
        <v>46448.0</v>
      </c>
      <c r="M421" s="19" t="s">
        <v>107</v>
      </c>
      <c r="N421" s="21" t="s">
        <v>58</v>
      </c>
      <c r="O421" s="19" t="s">
        <v>66</v>
      </c>
      <c r="P421" s="19" t="s">
        <v>60</v>
      </c>
      <c r="Q421" s="19" t="s">
        <v>38</v>
      </c>
      <c r="R421" s="22">
        <v>46540.0</v>
      </c>
      <c r="S421" s="19" t="s">
        <v>146</v>
      </c>
      <c r="T421" s="19" t="s">
        <v>2421</v>
      </c>
      <c r="U421" s="19" t="s">
        <v>33</v>
      </c>
      <c r="V421" s="71">
        <v>6782.0</v>
      </c>
      <c r="W421" s="71">
        <v>8003.0</v>
      </c>
      <c r="X421" s="19">
        <v>6500.0</v>
      </c>
      <c r="Y421" s="19">
        <v>6000.0</v>
      </c>
      <c r="Z421" s="57">
        <f t="shared" si="1"/>
        <v>2003</v>
      </c>
      <c r="AA421" s="15">
        <f t="shared" si="2"/>
        <v>-500</v>
      </c>
      <c r="AB421" s="19" t="s">
        <v>39</v>
      </c>
      <c r="AC421" s="66" t="s">
        <v>2422</v>
      </c>
    </row>
    <row r="422">
      <c r="A422" s="17">
        <v>420.0</v>
      </c>
      <c r="B422" s="20">
        <v>46144.0</v>
      </c>
      <c r="C422" s="66" t="s">
        <v>2423</v>
      </c>
      <c r="D422" s="66" t="s">
        <v>2424</v>
      </c>
      <c r="E422" s="19" t="s">
        <v>52</v>
      </c>
      <c r="F422" s="66" t="s">
        <v>2425</v>
      </c>
      <c r="G422" s="66" t="s">
        <v>2426</v>
      </c>
      <c r="H422" s="19">
        <v>6.353710926E9</v>
      </c>
      <c r="I422" s="19">
        <v>9.979672722E9</v>
      </c>
      <c r="J422" s="19" t="s">
        <v>33</v>
      </c>
      <c r="K422" s="19">
        <v>3490.0</v>
      </c>
      <c r="L422" s="20">
        <v>46448.0</v>
      </c>
      <c r="M422" s="19" t="s">
        <v>57</v>
      </c>
      <c r="N422" s="21" t="s">
        <v>58</v>
      </c>
      <c r="O422" s="19" t="s">
        <v>66</v>
      </c>
      <c r="P422" s="19" t="s">
        <v>79</v>
      </c>
      <c r="Q422" s="19" t="s">
        <v>38</v>
      </c>
      <c r="R422" s="22">
        <v>46601.0</v>
      </c>
      <c r="S422" s="19" t="s">
        <v>272</v>
      </c>
      <c r="T422" s="22">
        <v>46998.0</v>
      </c>
      <c r="U422" s="19" t="s">
        <v>33</v>
      </c>
      <c r="V422" s="67">
        <v>20636.0</v>
      </c>
      <c r="W422" s="67">
        <v>22252.0</v>
      </c>
      <c r="X422" s="19">
        <v>15882.0</v>
      </c>
      <c r="Y422" s="19">
        <v>14500.0</v>
      </c>
      <c r="Z422" s="34">
        <f t="shared" si="1"/>
        <v>7752</v>
      </c>
      <c r="AA422" s="15">
        <f t="shared" si="2"/>
        <v>-1382</v>
      </c>
      <c r="AB422" s="19" t="s">
        <v>39</v>
      </c>
      <c r="AC422" s="66" t="s">
        <v>2427</v>
      </c>
    </row>
    <row r="423">
      <c r="A423" s="17">
        <v>421.0</v>
      </c>
      <c r="B423" s="20">
        <v>46144.0</v>
      </c>
      <c r="C423" s="66" t="s">
        <v>2428</v>
      </c>
      <c r="D423" s="66" t="s">
        <v>2429</v>
      </c>
      <c r="E423" s="19" t="s">
        <v>52</v>
      </c>
      <c r="F423" s="66" t="s">
        <v>1581</v>
      </c>
      <c r="G423" s="66" t="s">
        <v>2430</v>
      </c>
      <c r="H423" s="19">
        <v>8.780410034E9</v>
      </c>
      <c r="I423" s="19">
        <v>6.351989266E9</v>
      </c>
      <c r="J423" s="19" t="s">
        <v>33</v>
      </c>
      <c r="K423" s="19">
        <v>1600.0</v>
      </c>
      <c r="L423" s="20">
        <v>46448.0</v>
      </c>
      <c r="M423" s="19" t="s">
        <v>152</v>
      </c>
      <c r="N423" s="21" t="s">
        <v>58</v>
      </c>
      <c r="O423" s="19" t="s">
        <v>129</v>
      </c>
      <c r="P423" s="19" t="s">
        <v>60</v>
      </c>
      <c r="Q423" s="19" t="s">
        <v>38</v>
      </c>
      <c r="R423" s="19" t="s">
        <v>1674</v>
      </c>
      <c r="S423" s="19" t="s">
        <v>2431</v>
      </c>
      <c r="T423" s="19" t="s">
        <v>33</v>
      </c>
      <c r="U423" s="19" t="s">
        <v>33</v>
      </c>
      <c r="V423" s="67">
        <v>16769.1</v>
      </c>
      <c r="W423" s="67">
        <v>17701.0</v>
      </c>
      <c r="X423" s="19">
        <v>11931.0</v>
      </c>
      <c r="Y423" s="19">
        <v>11700.0</v>
      </c>
      <c r="Z423" s="34">
        <f t="shared" si="1"/>
        <v>6001</v>
      </c>
      <c r="AA423" s="15">
        <f t="shared" si="2"/>
        <v>-231</v>
      </c>
      <c r="AB423" s="19" t="s">
        <v>39</v>
      </c>
      <c r="AC423" s="66" t="s">
        <v>2432</v>
      </c>
    </row>
    <row r="424">
      <c r="A424" s="17">
        <v>422.0</v>
      </c>
      <c r="B424" s="72">
        <v>46175.0</v>
      </c>
      <c r="C424" s="66" t="s">
        <v>2433</v>
      </c>
      <c r="D424" s="66" t="s">
        <v>2434</v>
      </c>
      <c r="E424" s="19" t="s">
        <v>52</v>
      </c>
      <c r="F424" s="66" t="s">
        <v>143</v>
      </c>
      <c r="G424" s="66" t="s">
        <v>2435</v>
      </c>
      <c r="H424" s="19">
        <v>8.160537771E9</v>
      </c>
      <c r="I424" s="19">
        <v>9.979218799E9</v>
      </c>
      <c r="J424" s="19" t="s">
        <v>33</v>
      </c>
      <c r="K424" s="19">
        <v>2950.0</v>
      </c>
      <c r="L424" s="20">
        <v>46479.0</v>
      </c>
      <c r="M424" s="19" t="s">
        <v>92</v>
      </c>
      <c r="N424" s="21" t="s">
        <v>46</v>
      </c>
      <c r="O424" s="19" t="s">
        <v>431</v>
      </c>
      <c r="P424" s="19" t="s">
        <v>79</v>
      </c>
      <c r="Q424" s="19" t="s">
        <v>38</v>
      </c>
      <c r="R424" s="22">
        <v>43679.0</v>
      </c>
      <c r="S424" s="19" t="s">
        <v>33</v>
      </c>
      <c r="T424" s="19" t="s">
        <v>33</v>
      </c>
      <c r="U424" s="19" t="s">
        <v>33</v>
      </c>
      <c r="V424" s="71">
        <v>16748.0</v>
      </c>
      <c r="W424" s="71">
        <v>17676.0</v>
      </c>
      <c r="X424" s="19">
        <v>11500.0</v>
      </c>
      <c r="Y424" s="19">
        <v>11500.0</v>
      </c>
      <c r="Z424" s="57">
        <f t="shared" si="1"/>
        <v>6176</v>
      </c>
      <c r="AA424" s="15">
        <f t="shared" si="2"/>
        <v>0</v>
      </c>
      <c r="AB424" s="19" t="s">
        <v>39</v>
      </c>
      <c r="AC424" s="66" t="s">
        <v>2436</v>
      </c>
    </row>
    <row r="425">
      <c r="A425" s="17">
        <v>423.0</v>
      </c>
      <c r="B425" s="72">
        <v>46175.0</v>
      </c>
      <c r="C425" s="66" t="s">
        <v>2437</v>
      </c>
      <c r="D425" s="66" t="s">
        <v>2438</v>
      </c>
      <c r="E425" s="19" t="s">
        <v>52</v>
      </c>
      <c r="F425" s="66" t="s">
        <v>2439</v>
      </c>
      <c r="G425" s="66" t="s">
        <v>2440</v>
      </c>
      <c r="H425" s="19">
        <v>9.925038159E9</v>
      </c>
      <c r="I425" s="19">
        <v>9.42817894E9</v>
      </c>
      <c r="J425" s="19" t="s">
        <v>33</v>
      </c>
      <c r="K425" s="19">
        <v>2880.0</v>
      </c>
      <c r="L425" s="72">
        <v>46540.0</v>
      </c>
      <c r="M425" s="19" t="s">
        <v>839</v>
      </c>
      <c r="N425" s="21" t="s">
        <v>46</v>
      </c>
      <c r="O425" s="19" t="s">
        <v>66</v>
      </c>
      <c r="P425" s="19" t="s">
        <v>60</v>
      </c>
      <c r="Q425" s="19" t="s">
        <v>38</v>
      </c>
      <c r="R425" s="19" t="s">
        <v>2441</v>
      </c>
      <c r="S425" s="19" t="s">
        <v>1632</v>
      </c>
      <c r="T425" s="19" t="s">
        <v>33</v>
      </c>
      <c r="U425" s="19" t="s">
        <v>33</v>
      </c>
      <c r="V425" s="67">
        <v>16479.0</v>
      </c>
      <c r="W425" s="67">
        <v>17359.0</v>
      </c>
      <c r="X425" s="19">
        <v>11500.0</v>
      </c>
      <c r="Y425" s="19">
        <v>11500.0</v>
      </c>
      <c r="Z425" s="34">
        <f t="shared" si="1"/>
        <v>5859</v>
      </c>
      <c r="AA425" s="15">
        <f t="shared" si="2"/>
        <v>0</v>
      </c>
      <c r="AB425" s="19" t="s">
        <v>39</v>
      </c>
      <c r="AC425" s="66" t="s">
        <v>2442</v>
      </c>
    </row>
    <row r="426">
      <c r="A426" s="17">
        <v>424.0</v>
      </c>
      <c r="B426" s="72">
        <v>46175.0</v>
      </c>
      <c r="C426" s="66" t="s">
        <v>2443</v>
      </c>
      <c r="D426" s="66" t="s">
        <v>2444</v>
      </c>
      <c r="E426" s="19" t="s">
        <v>88</v>
      </c>
      <c r="F426" s="66" t="s">
        <v>2445</v>
      </c>
      <c r="G426" s="66" t="s">
        <v>1611</v>
      </c>
      <c r="H426" s="19">
        <v>8.86630903E9</v>
      </c>
      <c r="I426" s="19">
        <v>9.727825319E9</v>
      </c>
      <c r="J426" s="19" t="s">
        <v>33</v>
      </c>
      <c r="K426" s="19">
        <v>45500.0</v>
      </c>
      <c r="L426" s="72">
        <v>46693.0</v>
      </c>
      <c r="M426" s="19" t="s">
        <v>107</v>
      </c>
      <c r="N426" s="21" t="s">
        <v>58</v>
      </c>
      <c r="O426" s="19" t="s">
        <v>424</v>
      </c>
      <c r="P426" s="19" t="s">
        <v>60</v>
      </c>
      <c r="Q426" s="19" t="s">
        <v>38</v>
      </c>
      <c r="R426" s="19" t="s">
        <v>2446</v>
      </c>
      <c r="S426" s="19" t="s">
        <v>557</v>
      </c>
      <c r="T426" s="19" t="s">
        <v>2447</v>
      </c>
      <c r="U426" s="19" t="s">
        <v>33</v>
      </c>
      <c r="V426" s="71">
        <v>50027.0</v>
      </c>
      <c r="W426" s="71">
        <v>53281.0</v>
      </c>
      <c r="X426" s="19">
        <v>52500.0</v>
      </c>
      <c r="Y426" s="19">
        <v>52500.0</v>
      </c>
      <c r="Z426" s="57">
        <f t="shared" si="1"/>
        <v>781</v>
      </c>
      <c r="AA426" s="15">
        <f t="shared" si="2"/>
        <v>0</v>
      </c>
      <c r="AB426" s="59"/>
      <c r="AC426" s="66" t="s">
        <v>2448</v>
      </c>
    </row>
    <row r="427">
      <c r="A427" s="17">
        <v>425.0</v>
      </c>
      <c r="B427" s="72">
        <v>46175.0</v>
      </c>
      <c r="C427" s="66" t="s">
        <v>2449</v>
      </c>
      <c r="D427" s="66" t="s">
        <v>2450</v>
      </c>
      <c r="E427" s="19" t="s">
        <v>88</v>
      </c>
      <c r="F427" s="66" t="s">
        <v>2445</v>
      </c>
      <c r="G427" s="66" t="s">
        <v>1611</v>
      </c>
      <c r="H427" s="17">
        <v>8.86630903E9</v>
      </c>
      <c r="I427" s="19">
        <v>9.727825319E9</v>
      </c>
      <c r="J427" s="19" t="s">
        <v>33</v>
      </c>
      <c r="K427" s="19">
        <v>45500.0</v>
      </c>
      <c r="L427" s="72">
        <v>46693.0</v>
      </c>
      <c r="M427" s="19" t="s">
        <v>107</v>
      </c>
      <c r="N427" s="21" t="s">
        <v>58</v>
      </c>
      <c r="O427" s="19" t="s">
        <v>424</v>
      </c>
      <c r="P427" s="19" t="s">
        <v>60</v>
      </c>
      <c r="Q427" s="19" t="s">
        <v>38</v>
      </c>
      <c r="R427" s="22">
        <v>46694.0</v>
      </c>
      <c r="S427" s="19" t="s">
        <v>1639</v>
      </c>
      <c r="T427" s="22">
        <v>46915.0</v>
      </c>
      <c r="U427" s="19" t="s">
        <v>33</v>
      </c>
      <c r="V427" s="71">
        <v>50027.0</v>
      </c>
      <c r="W427" s="71">
        <v>53281.0</v>
      </c>
      <c r="X427" s="19">
        <v>52500.0</v>
      </c>
      <c r="Y427" s="19">
        <v>52500.0</v>
      </c>
      <c r="Z427" s="57">
        <f t="shared" si="1"/>
        <v>781</v>
      </c>
      <c r="AA427" s="15">
        <f t="shared" si="2"/>
        <v>0</v>
      </c>
      <c r="AB427" s="59"/>
      <c r="AC427" s="66" t="s">
        <v>2451</v>
      </c>
    </row>
    <row r="428">
      <c r="A428" s="17">
        <v>426.0</v>
      </c>
      <c r="B428" s="20">
        <v>46205.0</v>
      </c>
      <c r="C428" s="66" t="s">
        <v>2452</v>
      </c>
      <c r="D428" s="66" t="s">
        <v>2453</v>
      </c>
      <c r="E428" s="19" t="s">
        <v>52</v>
      </c>
      <c r="F428" s="66" t="s">
        <v>1581</v>
      </c>
      <c r="G428" s="66" t="s">
        <v>2454</v>
      </c>
      <c r="H428" s="17">
        <v>8.866800092E9</v>
      </c>
      <c r="I428" s="19">
        <v>9.904200092E9</v>
      </c>
      <c r="J428" s="19" t="s">
        <v>105</v>
      </c>
      <c r="K428" s="19">
        <v>1600.0</v>
      </c>
      <c r="L428" s="72">
        <v>46540.0</v>
      </c>
      <c r="M428" s="19" t="s">
        <v>152</v>
      </c>
      <c r="N428" s="21" t="s">
        <v>58</v>
      </c>
      <c r="O428" s="19" t="s">
        <v>66</v>
      </c>
      <c r="P428" s="19" t="s">
        <v>60</v>
      </c>
      <c r="Q428" s="19" t="s">
        <v>38</v>
      </c>
      <c r="R428" s="19" t="s">
        <v>2321</v>
      </c>
      <c r="S428" s="19" t="s">
        <v>2455</v>
      </c>
      <c r="T428" s="19" t="s">
        <v>33</v>
      </c>
      <c r="U428" s="19" t="s">
        <v>33</v>
      </c>
      <c r="V428" s="73">
        <v>19850.84</v>
      </c>
      <c r="W428" s="23">
        <v>21338.0</v>
      </c>
      <c r="X428" s="19">
        <v>13634.0</v>
      </c>
      <c r="Y428" s="19">
        <v>13500.0</v>
      </c>
      <c r="Z428" s="34">
        <f t="shared" si="1"/>
        <v>7838</v>
      </c>
      <c r="AA428" s="15">
        <f t="shared" si="2"/>
        <v>-134</v>
      </c>
      <c r="AB428" s="19" t="s">
        <v>39</v>
      </c>
      <c r="AC428" s="66" t="s">
        <v>2456</v>
      </c>
    </row>
    <row r="429">
      <c r="A429" s="17">
        <v>427.0</v>
      </c>
      <c r="B429" s="19"/>
      <c r="D429" s="9"/>
      <c r="E429" s="59"/>
      <c r="F429" s="9"/>
      <c r="G429" s="9"/>
      <c r="H429" s="59"/>
      <c r="I429" s="59"/>
      <c r="J429" s="59"/>
      <c r="K429" s="59"/>
      <c r="L429" s="59"/>
      <c r="M429" s="59"/>
      <c r="N429" s="21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10"/>
      <c r="AA429" s="15">
        <f t="shared" si="2"/>
        <v>0</v>
      </c>
      <c r="AB429" s="59"/>
      <c r="AC429" s="9"/>
    </row>
    <row r="430">
      <c r="A430" s="17">
        <v>428.0</v>
      </c>
      <c r="B430" s="19"/>
      <c r="C430" s="9"/>
      <c r="D430" s="9"/>
      <c r="E430" s="59"/>
      <c r="F430" s="9"/>
      <c r="G430" s="9"/>
      <c r="H430" s="59"/>
      <c r="I430" s="59"/>
      <c r="J430" s="59"/>
      <c r="K430" s="59"/>
      <c r="L430" s="59"/>
      <c r="M430" s="59"/>
      <c r="N430" s="21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10"/>
      <c r="AA430" s="15">
        <f t="shared" si="2"/>
        <v>0</v>
      </c>
      <c r="AB430" s="59"/>
      <c r="AC430" s="9"/>
    </row>
    <row r="431">
      <c r="A431" s="17">
        <v>429.0</v>
      </c>
      <c r="B431" s="19"/>
      <c r="C431" s="9"/>
      <c r="D431" s="9"/>
      <c r="E431" s="59"/>
      <c r="F431" s="9"/>
      <c r="G431" s="9"/>
      <c r="H431" s="59"/>
      <c r="I431" s="59"/>
      <c r="J431" s="59"/>
      <c r="K431" s="59"/>
      <c r="L431" s="59"/>
      <c r="M431" s="59"/>
      <c r="N431" s="21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10"/>
      <c r="AA431" s="15">
        <f t="shared" si="2"/>
        <v>0</v>
      </c>
      <c r="AB431" s="59"/>
      <c r="AC431" s="9"/>
    </row>
    <row r="432">
      <c r="A432" s="17">
        <v>430.0</v>
      </c>
      <c r="B432" s="19"/>
      <c r="C432" s="9"/>
      <c r="D432" s="9"/>
      <c r="E432" s="59"/>
      <c r="F432" s="9"/>
      <c r="G432" s="9"/>
      <c r="H432" s="59"/>
      <c r="I432" s="59"/>
      <c r="J432" s="59"/>
      <c r="K432" s="59"/>
      <c r="L432" s="59"/>
      <c r="M432" s="59"/>
      <c r="N432" s="21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10"/>
      <c r="AA432" s="15">
        <f t="shared" si="2"/>
        <v>0</v>
      </c>
      <c r="AB432" s="59"/>
      <c r="AC432" s="9"/>
    </row>
    <row r="433">
      <c r="A433" s="9"/>
      <c r="B433" s="19"/>
      <c r="C433" s="9"/>
      <c r="D433" s="9"/>
      <c r="E433" s="59"/>
      <c r="F433" s="9"/>
      <c r="G433" s="9"/>
      <c r="H433" s="59"/>
      <c r="I433" s="59"/>
      <c r="J433" s="59"/>
      <c r="K433" s="59"/>
      <c r="L433" s="59"/>
      <c r="M433" s="59"/>
      <c r="N433" s="21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10"/>
      <c r="AA433" s="74"/>
      <c r="AB433" s="59"/>
      <c r="AC433" s="9"/>
    </row>
    <row r="434">
      <c r="A434" s="9"/>
      <c r="B434" s="19"/>
      <c r="C434" s="9"/>
      <c r="D434" s="9"/>
      <c r="E434" s="59"/>
      <c r="F434" s="9"/>
      <c r="G434" s="9"/>
      <c r="H434" s="59"/>
      <c r="I434" s="59"/>
      <c r="J434" s="59"/>
      <c r="K434" s="59"/>
      <c r="L434" s="59"/>
      <c r="M434" s="59"/>
      <c r="N434" s="21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10"/>
      <c r="AA434" s="74"/>
      <c r="AB434" s="59"/>
      <c r="AC434" s="9"/>
    </row>
    <row r="435">
      <c r="A435" s="9"/>
      <c r="B435" s="19"/>
      <c r="C435" s="9"/>
      <c r="D435" s="9"/>
      <c r="E435" s="59"/>
      <c r="F435" s="9"/>
      <c r="G435" s="9"/>
      <c r="H435" s="59"/>
      <c r="I435" s="59"/>
      <c r="J435" s="59"/>
      <c r="K435" s="59"/>
      <c r="L435" s="59"/>
      <c r="M435" s="59"/>
      <c r="N435" s="21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10"/>
      <c r="AA435" s="74"/>
      <c r="AB435" s="59"/>
      <c r="AC435" s="9"/>
    </row>
    <row r="436">
      <c r="A436" s="9"/>
      <c r="B436" s="19"/>
      <c r="C436" s="9"/>
      <c r="D436" s="9"/>
      <c r="E436" s="59"/>
      <c r="F436" s="9"/>
      <c r="G436" s="9"/>
      <c r="H436" s="59"/>
      <c r="I436" s="59"/>
      <c r="J436" s="59"/>
      <c r="K436" s="59"/>
      <c r="L436" s="59"/>
      <c r="M436" s="59"/>
      <c r="N436" s="21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10"/>
      <c r="AA436" s="74"/>
      <c r="AB436" s="59"/>
      <c r="AC436" s="9"/>
    </row>
    <row r="437">
      <c r="A437" s="9"/>
      <c r="B437" s="19"/>
      <c r="C437" s="9"/>
      <c r="D437" s="9"/>
      <c r="E437" s="59"/>
      <c r="F437" s="9"/>
      <c r="G437" s="9"/>
      <c r="H437" s="59"/>
      <c r="I437" s="59"/>
      <c r="J437" s="59"/>
      <c r="K437" s="59"/>
      <c r="L437" s="59"/>
      <c r="M437" s="59"/>
      <c r="N437" s="21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10"/>
      <c r="AA437" s="74"/>
      <c r="AB437" s="59"/>
      <c r="AC437" s="9"/>
    </row>
    <row r="438">
      <c r="A438" s="9"/>
      <c r="B438" s="19"/>
      <c r="C438" s="9"/>
      <c r="D438" s="9"/>
      <c r="E438" s="59"/>
      <c r="F438" s="9"/>
      <c r="G438" s="9"/>
      <c r="H438" s="59"/>
      <c r="I438" s="59"/>
      <c r="J438" s="59"/>
      <c r="K438" s="59"/>
      <c r="L438" s="59"/>
      <c r="M438" s="59"/>
      <c r="N438" s="21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10"/>
      <c r="AA438" s="74"/>
      <c r="AB438" s="59"/>
      <c r="AC438" s="9"/>
    </row>
    <row r="439">
      <c r="A439" s="9"/>
      <c r="B439" s="19"/>
      <c r="C439" s="9"/>
      <c r="D439" s="9"/>
      <c r="E439" s="59"/>
      <c r="F439" s="9"/>
      <c r="G439" s="9"/>
      <c r="H439" s="59"/>
      <c r="I439" s="59"/>
      <c r="J439" s="59"/>
      <c r="K439" s="59"/>
      <c r="L439" s="59"/>
      <c r="M439" s="59"/>
      <c r="N439" s="21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10"/>
      <c r="AA439" s="74"/>
      <c r="AB439" s="59"/>
      <c r="AC439" s="9"/>
    </row>
    <row r="440">
      <c r="A440" s="9"/>
      <c r="B440" s="19"/>
      <c r="C440" s="9"/>
      <c r="D440" s="9"/>
      <c r="E440" s="59"/>
      <c r="F440" s="9"/>
      <c r="G440" s="9"/>
      <c r="H440" s="59"/>
      <c r="I440" s="59"/>
      <c r="J440" s="59"/>
      <c r="K440" s="59"/>
      <c r="L440" s="59"/>
      <c r="M440" s="59"/>
      <c r="N440" s="21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10"/>
      <c r="AA440" s="74"/>
      <c r="AB440" s="59"/>
      <c r="AC440" s="9"/>
    </row>
    <row r="441">
      <c r="A441" s="9"/>
      <c r="B441" s="19"/>
      <c r="C441" s="9"/>
      <c r="D441" s="9"/>
      <c r="E441" s="59"/>
      <c r="F441" s="9"/>
      <c r="G441" s="9"/>
      <c r="H441" s="59"/>
      <c r="I441" s="59"/>
      <c r="J441" s="59"/>
      <c r="K441" s="59"/>
      <c r="L441" s="59"/>
      <c r="M441" s="59"/>
      <c r="N441" s="21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10"/>
      <c r="AA441" s="74"/>
      <c r="AB441" s="59"/>
      <c r="AC441" s="9"/>
    </row>
    <row r="442">
      <c r="A442" s="9"/>
      <c r="B442" s="19"/>
      <c r="C442" s="9"/>
      <c r="D442" s="9"/>
      <c r="E442" s="59"/>
      <c r="F442" s="9"/>
      <c r="G442" s="9"/>
      <c r="H442" s="59"/>
      <c r="I442" s="59"/>
      <c r="J442" s="59"/>
      <c r="K442" s="59"/>
      <c r="L442" s="59"/>
      <c r="M442" s="59"/>
      <c r="N442" s="21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10"/>
      <c r="AA442" s="74"/>
      <c r="AB442" s="59"/>
      <c r="AC442" s="9"/>
    </row>
    <row r="443">
      <c r="A443" s="9"/>
      <c r="B443" s="19"/>
      <c r="C443" s="9"/>
      <c r="D443" s="9"/>
      <c r="E443" s="59"/>
      <c r="F443" s="9"/>
      <c r="G443" s="9"/>
      <c r="H443" s="59"/>
      <c r="I443" s="59"/>
      <c r="J443" s="59"/>
      <c r="K443" s="59"/>
      <c r="L443" s="59"/>
      <c r="M443" s="59"/>
      <c r="N443" s="21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10"/>
      <c r="AA443" s="74"/>
      <c r="AB443" s="59"/>
      <c r="AC443" s="9"/>
    </row>
    <row r="444">
      <c r="A444" s="9"/>
      <c r="B444" s="19"/>
      <c r="C444" s="9"/>
      <c r="D444" s="9"/>
      <c r="E444" s="59"/>
      <c r="F444" s="9"/>
      <c r="G444" s="9"/>
      <c r="H444" s="59"/>
      <c r="I444" s="59"/>
      <c r="J444" s="59"/>
      <c r="K444" s="59"/>
      <c r="L444" s="59"/>
      <c r="M444" s="59"/>
      <c r="N444" s="21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10"/>
      <c r="AA444" s="74"/>
      <c r="AB444" s="59"/>
      <c r="AC444" s="9"/>
    </row>
    <row r="445">
      <c r="A445" s="9"/>
      <c r="B445" s="19"/>
      <c r="C445" s="9"/>
      <c r="D445" s="9"/>
      <c r="E445" s="59"/>
      <c r="F445" s="9"/>
      <c r="G445" s="9"/>
      <c r="H445" s="59"/>
      <c r="I445" s="59"/>
      <c r="J445" s="59"/>
      <c r="K445" s="59"/>
      <c r="L445" s="59"/>
      <c r="M445" s="59"/>
      <c r="N445" s="21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10"/>
      <c r="AA445" s="74"/>
      <c r="AB445" s="59"/>
      <c r="AC445" s="9"/>
    </row>
    <row r="446">
      <c r="A446" s="9"/>
      <c r="B446" s="19"/>
      <c r="C446" s="9"/>
      <c r="D446" s="9"/>
      <c r="E446" s="59"/>
      <c r="F446" s="9"/>
      <c r="G446" s="9"/>
      <c r="H446" s="59"/>
      <c r="I446" s="59"/>
      <c r="J446" s="59"/>
      <c r="K446" s="59"/>
      <c r="L446" s="59"/>
      <c r="M446" s="59"/>
      <c r="N446" s="21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10"/>
      <c r="AA446" s="74"/>
      <c r="AB446" s="59"/>
      <c r="AC446" s="9"/>
    </row>
    <row r="447">
      <c r="A447" s="9"/>
      <c r="B447" s="19"/>
      <c r="C447" s="9"/>
      <c r="D447" s="9"/>
      <c r="E447" s="59"/>
      <c r="F447" s="9"/>
      <c r="G447" s="9"/>
      <c r="H447" s="59"/>
      <c r="I447" s="59"/>
      <c r="J447" s="59"/>
      <c r="K447" s="59"/>
      <c r="L447" s="59"/>
      <c r="M447" s="59"/>
      <c r="N447" s="21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10"/>
      <c r="AA447" s="74"/>
      <c r="AB447" s="59"/>
      <c r="AC447" s="9"/>
    </row>
    <row r="448">
      <c r="A448" s="9"/>
      <c r="B448" s="19"/>
      <c r="C448" s="9"/>
      <c r="D448" s="9"/>
      <c r="E448" s="59"/>
      <c r="F448" s="9"/>
      <c r="G448" s="9"/>
      <c r="H448" s="59"/>
      <c r="I448" s="59"/>
      <c r="J448" s="59"/>
      <c r="K448" s="59"/>
      <c r="L448" s="59"/>
      <c r="M448" s="59"/>
      <c r="N448" s="21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10"/>
      <c r="AA448" s="74"/>
      <c r="AB448" s="59"/>
      <c r="AC448" s="9"/>
    </row>
    <row r="449">
      <c r="A449" s="9"/>
      <c r="B449" s="19"/>
      <c r="C449" s="9"/>
      <c r="D449" s="9"/>
      <c r="E449" s="59"/>
      <c r="F449" s="9"/>
      <c r="G449" s="9"/>
      <c r="H449" s="59"/>
      <c r="I449" s="59"/>
      <c r="J449" s="59"/>
      <c r="K449" s="59"/>
      <c r="L449" s="59"/>
      <c r="M449" s="59"/>
      <c r="N449" s="21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10"/>
      <c r="AA449" s="74"/>
      <c r="AB449" s="59"/>
      <c r="AC449" s="9"/>
    </row>
    <row r="450">
      <c r="A450" s="9"/>
      <c r="B450" s="19"/>
      <c r="C450" s="9"/>
      <c r="D450" s="9"/>
      <c r="E450" s="59"/>
      <c r="F450" s="9"/>
      <c r="G450" s="9"/>
      <c r="H450" s="59"/>
      <c r="I450" s="59"/>
      <c r="J450" s="59"/>
      <c r="K450" s="59"/>
      <c r="L450" s="59"/>
      <c r="M450" s="59"/>
      <c r="N450" s="21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10"/>
      <c r="AA450" s="74"/>
      <c r="AB450" s="59"/>
      <c r="AC450" s="9"/>
    </row>
    <row r="451">
      <c r="A451" s="9"/>
      <c r="B451" s="19"/>
      <c r="C451" s="9"/>
      <c r="D451" s="9"/>
      <c r="E451" s="59"/>
      <c r="F451" s="9"/>
      <c r="G451" s="9"/>
      <c r="H451" s="59"/>
      <c r="I451" s="59"/>
      <c r="J451" s="59"/>
      <c r="K451" s="59"/>
      <c r="L451" s="59"/>
      <c r="M451" s="59"/>
      <c r="N451" s="21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10"/>
      <c r="AA451" s="74"/>
      <c r="AB451" s="59"/>
      <c r="AC451" s="9"/>
    </row>
    <row r="452">
      <c r="A452" s="9"/>
      <c r="B452" s="19"/>
      <c r="C452" s="9"/>
      <c r="D452" s="9"/>
      <c r="E452" s="59"/>
      <c r="F452" s="9"/>
      <c r="G452" s="9"/>
      <c r="H452" s="59"/>
      <c r="I452" s="59"/>
      <c r="J452" s="59"/>
      <c r="K452" s="59"/>
      <c r="L452" s="59"/>
      <c r="M452" s="59"/>
      <c r="N452" s="21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10"/>
      <c r="AA452" s="74"/>
      <c r="AB452" s="59"/>
      <c r="AC452" s="9"/>
    </row>
    <row r="453">
      <c r="A453" s="9"/>
      <c r="B453" s="19"/>
      <c r="C453" s="9"/>
      <c r="D453" s="9"/>
      <c r="E453" s="59"/>
      <c r="F453" s="9"/>
      <c r="G453" s="9"/>
      <c r="H453" s="59"/>
      <c r="I453" s="59"/>
      <c r="J453" s="59"/>
      <c r="K453" s="59"/>
      <c r="L453" s="59"/>
      <c r="M453" s="59"/>
      <c r="N453" s="21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10"/>
      <c r="AA453" s="74"/>
      <c r="AB453" s="59"/>
      <c r="AC453" s="9"/>
    </row>
    <row r="454">
      <c r="A454" s="9"/>
      <c r="B454" s="19"/>
      <c r="C454" s="9"/>
      <c r="D454" s="9"/>
      <c r="E454" s="59"/>
      <c r="F454" s="9"/>
      <c r="G454" s="9"/>
      <c r="H454" s="59"/>
      <c r="I454" s="59"/>
      <c r="J454" s="59"/>
      <c r="K454" s="59"/>
      <c r="L454" s="59"/>
      <c r="M454" s="59"/>
      <c r="N454" s="21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10"/>
      <c r="AA454" s="74"/>
      <c r="AB454" s="59"/>
      <c r="AC454" s="9"/>
    </row>
    <row r="455">
      <c r="A455" s="9"/>
      <c r="B455" s="19"/>
      <c r="C455" s="9"/>
      <c r="D455" s="9"/>
      <c r="E455" s="59"/>
      <c r="F455" s="9"/>
      <c r="G455" s="9"/>
      <c r="H455" s="59"/>
      <c r="I455" s="59"/>
      <c r="J455" s="59"/>
      <c r="K455" s="59"/>
      <c r="L455" s="59"/>
      <c r="M455" s="59"/>
      <c r="N455" s="21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10"/>
      <c r="AA455" s="74"/>
      <c r="AB455" s="59"/>
      <c r="AC455" s="9"/>
    </row>
    <row r="456">
      <c r="A456" s="9"/>
      <c r="B456" s="19"/>
      <c r="C456" s="9"/>
      <c r="D456" s="9"/>
      <c r="E456" s="59"/>
      <c r="F456" s="9"/>
      <c r="G456" s="9"/>
      <c r="H456" s="59"/>
      <c r="I456" s="59"/>
      <c r="J456" s="59"/>
      <c r="K456" s="59"/>
      <c r="L456" s="59"/>
      <c r="M456" s="59"/>
      <c r="N456" s="21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10"/>
      <c r="AA456" s="74"/>
      <c r="AB456" s="59"/>
      <c r="AC456" s="9"/>
    </row>
    <row r="457">
      <c r="A457" s="9"/>
      <c r="B457" s="19"/>
      <c r="C457" s="9"/>
      <c r="D457" s="9"/>
      <c r="E457" s="59"/>
      <c r="F457" s="9"/>
      <c r="G457" s="9"/>
      <c r="H457" s="59"/>
      <c r="I457" s="59"/>
      <c r="J457" s="59"/>
      <c r="K457" s="59"/>
      <c r="L457" s="59"/>
      <c r="M457" s="59"/>
      <c r="N457" s="21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10"/>
      <c r="AA457" s="74"/>
      <c r="AB457" s="59"/>
      <c r="AC457" s="9"/>
    </row>
    <row r="458">
      <c r="A458" s="9"/>
      <c r="B458" s="19"/>
      <c r="C458" s="9"/>
      <c r="D458" s="9"/>
      <c r="E458" s="59"/>
      <c r="F458" s="9"/>
      <c r="G458" s="9"/>
      <c r="H458" s="59"/>
      <c r="I458" s="59"/>
      <c r="J458" s="59"/>
      <c r="K458" s="59"/>
      <c r="L458" s="59"/>
      <c r="M458" s="59"/>
      <c r="N458" s="21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10"/>
      <c r="AA458" s="74"/>
      <c r="AB458" s="59"/>
      <c r="AC458" s="9"/>
    </row>
    <row r="459">
      <c r="A459" s="9"/>
      <c r="B459" s="19"/>
      <c r="C459" s="9"/>
      <c r="D459" s="9"/>
      <c r="E459" s="59"/>
      <c r="F459" s="9"/>
      <c r="G459" s="9"/>
      <c r="H459" s="59"/>
      <c r="I459" s="59"/>
      <c r="J459" s="59"/>
      <c r="K459" s="59"/>
      <c r="L459" s="59"/>
      <c r="M459" s="59"/>
      <c r="N459" s="21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10"/>
      <c r="AA459" s="74"/>
      <c r="AB459" s="59"/>
      <c r="AC459" s="9"/>
    </row>
    <row r="460">
      <c r="A460" s="9"/>
      <c r="B460" s="19"/>
      <c r="C460" s="9"/>
      <c r="D460" s="9"/>
      <c r="E460" s="59"/>
      <c r="F460" s="9"/>
      <c r="G460" s="9"/>
      <c r="H460" s="59"/>
      <c r="I460" s="59"/>
      <c r="J460" s="59"/>
      <c r="K460" s="59"/>
      <c r="L460" s="59"/>
      <c r="M460" s="59"/>
      <c r="N460" s="21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10"/>
      <c r="AA460" s="74"/>
      <c r="AB460" s="59"/>
      <c r="AC460" s="9"/>
    </row>
    <row r="461">
      <c r="A461" s="9"/>
      <c r="B461" s="19"/>
      <c r="C461" s="9"/>
      <c r="D461" s="9"/>
      <c r="E461" s="59"/>
      <c r="F461" s="9"/>
      <c r="G461" s="9"/>
      <c r="H461" s="59"/>
      <c r="I461" s="59"/>
      <c r="J461" s="59"/>
      <c r="K461" s="59"/>
      <c r="L461" s="59"/>
      <c r="M461" s="59"/>
      <c r="N461" s="21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10"/>
      <c r="AA461" s="74"/>
      <c r="AB461" s="59"/>
      <c r="AC461" s="9"/>
    </row>
    <row r="462">
      <c r="A462" s="9"/>
      <c r="B462" s="19"/>
      <c r="C462" s="9"/>
      <c r="D462" s="9"/>
      <c r="E462" s="59"/>
      <c r="F462" s="9"/>
      <c r="G462" s="9"/>
      <c r="H462" s="59"/>
      <c r="I462" s="59"/>
      <c r="J462" s="59"/>
      <c r="K462" s="59"/>
      <c r="L462" s="59"/>
      <c r="M462" s="59"/>
      <c r="N462" s="21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10"/>
      <c r="AA462" s="74"/>
      <c r="AB462" s="59"/>
      <c r="AC462" s="9"/>
    </row>
    <row r="463">
      <c r="A463" s="9"/>
      <c r="B463" s="19"/>
      <c r="C463" s="9"/>
      <c r="D463" s="9"/>
      <c r="E463" s="59"/>
      <c r="F463" s="9"/>
      <c r="G463" s="9"/>
      <c r="H463" s="59"/>
      <c r="I463" s="59"/>
      <c r="J463" s="59"/>
      <c r="K463" s="59"/>
      <c r="L463" s="59"/>
      <c r="M463" s="59"/>
      <c r="N463" s="21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10"/>
      <c r="AA463" s="74"/>
      <c r="AB463" s="59"/>
      <c r="AC463" s="9"/>
    </row>
    <row r="464">
      <c r="A464" s="9"/>
      <c r="B464" s="19"/>
      <c r="C464" s="9"/>
      <c r="D464" s="9"/>
      <c r="E464" s="59"/>
      <c r="F464" s="9"/>
      <c r="G464" s="9"/>
      <c r="H464" s="59"/>
      <c r="I464" s="59"/>
      <c r="J464" s="59"/>
      <c r="K464" s="59"/>
      <c r="L464" s="59"/>
      <c r="M464" s="59"/>
      <c r="N464" s="21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10"/>
      <c r="AA464" s="74"/>
      <c r="AB464" s="59"/>
      <c r="AC464" s="9"/>
    </row>
    <row r="465">
      <c r="A465" s="9"/>
      <c r="B465" s="19"/>
      <c r="C465" s="9"/>
      <c r="D465" s="9"/>
      <c r="E465" s="59"/>
      <c r="F465" s="9"/>
      <c r="G465" s="9"/>
      <c r="H465" s="59"/>
      <c r="I465" s="59"/>
      <c r="J465" s="59"/>
      <c r="K465" s="59"/>
      <c r="L465" s="59"/>
      <c r="M465" s="59"/>
      <c r="N465" s="21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10"/>
      <c r="AA465" s="74"/>
      <c r="AB465" s="59"/>
      <c r="AC465" s="9"/>
    </row>
    <row r="466">
      <c r="A466" s="9"/>
      <c r="B466" s="19"/>
      <c r="C466" s="9"/>
      <c r="D466" s="9"/>
      <c r="E466" s="59"/>
      <c r="F466" s="9"/>
      <c r="G466" s="9"/>
      <c r="H466" s="59"/>
      <c r="I466" s="59"/>
      <c r="J466" s="59"/>
      <c r="K466" s="59"/>
      <c r="L466" s="59"/>
      <c r="M466" s="59"/>
      <c r="N466" s="21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10"/>
      <c r="AA466" s="74"/>
      <c r="AB466" s="59"/>
      <c r="AC466" s="9"/>
    </row>
    <row r="467">
      <c r="A467" s="9"/>
      <c r="B467" s="19"/>
      <c r="C467" s="9"/>
      <c r="D467" s="9"/>
      <c r="E467" s="59"/>
      <c r="F467" s="9"/>
      <c r="G467" s="9"/>
      <c r="H467" s="59"/>
      <c r="I467" s="59"/>
      <c r="J467" s="59"/>
      <c r="K467" s="59"/>
      <c r="L467" s="59"/>
      <c r="M467" s="59"/>
      <c r="N467" s="21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10"/>
      <c r="AA467" s="74"/>
      <c r="AB467" s="59"/>
      <c r="AC467" s="9"/>
    </row>
    <row r="468">
      <c r="A468" s="9"/>
      <c r="B468" s="19"/>
      <c r="C468" s="9"/>
      <c r="D468" s="9"/>
      <c r="E468" s="59"/>
      <c r="F468" s="9"/>
      <c r="G468" s="9"/>
      <c r="H468" s="59"/>
      <c r="I468" s="59"/>
      <c r="J468" s="59"/>
      <c r="K468" s="59"/>
      <c r="L468" s="59"/>
      <c r="M468" s="59"/>
      <c r="N468" s="21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10"/>
      <c r="AA468" s="74"/>
      <c r="AB468" s="59"/>
      <c r="AC468" s="9"/>
    </row>
    <row r="469">
      <c r="A469" s="9"/>
      <c r="B469" s="19"/>
      <c r="C469" s="9"/>
      <c r="D469" s="9"/>
      <c r="E469" s="59"/>
      <c r="F469" s="9"/>
      <c r="G469" s="9"/>
      <c r="H469" s="59"/>
      <c r="I469" s="59"/>
      <c r="J469" s="59"/>
      <c r="K469" s="59"/>
      <c r="L469" s="59"/>
      <c r="M469" s="59"/>
      <c r="N469" s="21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10"/>
      <c r="AA469" s="74"/>
      <c r="AB469" s="59"/>
      <c r="AC469" s="9"/>
    </row>
    <row r="470">
      <c r="A470" s="9"/>
      <c r="B470" s="19"/>
      <c r="C470" s="9"/>
      <c r="D470" s="9"/>
      <c r="E470" s="59"/>
      <c r="F470" s="9"/>
      <c r="G470" s="9"/>
      <c r="H470" s="59"/>
      <c r="I470" s="59"/>
      <c r="J470" s="59"/>
      <c r="K470" s="59"/>
      <c r="L470" s="59"/>
      <c r="M470" s="59"/>
      <c r="N470" s="21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10"/>
      <c r="AA470" s="74"/>
      <c r="AB470" s="59"/>
      <c r="AC470" s="9"/>
    </row>
    <row r="471">
      <c r="A471" s="9"/>
      <c r="B471" s="19"/>
      <c r="C471" s="9"/>
      <c r="D471" s="9"/>
      <c r="E471" s="59"/>
      <c r="F471" s="9"/>
      <c r="G471" s="9"/>
      <c r="H471" s="59"/>
      <c r="I471" s="59"/>
      <c r="J471" s="59"/>
      <c r="K471" s="59"/>
      <c r="L471" s="59"/>
      <c r="M471" s="59"/>
      <c r="N471" s="21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10"/>
      <c r="AA471" s="74"/>
      <c r="AB471" s="59"/>
      <c r="AC471" s="9"/>
    </row>
    <row r="472">
      <c r="A472" s="9"/>
      <c r="B472" s="19"/>
      <c r="C472" s="9"/>
      <c r="D472" s="9"/>
      <c r="E472" s="59"/>
      <c r="F472" s="9"/>
      <c r="G472" s="9"/>
      <c r="H472" s="59"/>
      <c r="I472" s="59"/>
      <c r="J472" s="59"/>
      <c r="K472" s="59"/>
      <c r="L472" s="59"/>
      <c r="M472" s="59"/>
      <c r="N472" s="21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10"/>
      <c r="AA472" s="74"/>
      <c r="AB472" s="59"/>
      <c r="AC472" s="9"/>
    </row>
    <row r="473">
      <c r="A473" s="9"/>
      <c r="B473" s="19"/>
      <c r="C473" s="9"/>
      <c r="D473" s="9"/>
      <c r="E473" s="59"/>
      <c r="F473" s="9"/>
      <c r="G473" s="9"/>
      <c r="H473" s="59"/>
      <c r="I473" s="59"/>
      <c r="J473" s="59"/>
      <c r="K473" s="59"/>
      <c r="L473" s="59"/>
      <c r="M473" s="59"/>
      <c r="N473" s="21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10"/>
      <c r="AA473" s="74"/>
      <c r="AB473" s="59"/>
      <c r="AC473" s="9"/>
    </row>
    <row r="474">
      <c r="A474" s="9"/>
      <c r="B474" s="19"/>
      <c r="C474" s="9"/>
      <c r="D474" s="9"/>
      <c r="E474" s="59"/>
      <c r="F474" s="9"/>
      <c r="G474" s="9"/>
      <c r="H474" s="59"/>
      <c r="I474" s="59"/>
      <c r="J474" s="59"/>
      <c r="K474" s="59"/>
      <c r="L474" s="59"/>
      <c r="M474" s="59"/>
      <c r="N474" s="21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10"/>
      <c r="AA474" s="74"/>
      <c r="AB474" s="59"/>
      <c r="AC474" s="9"/>
    </row>
    <row r="475">
      <c r="A475" s="9"/>
      <c r="B475" s="19"/>
      <c r="C475" s="9"/>
      <c r="D475" s="9"/>
      <c r="E475" s="59"/>
      <c r="F475" s="9"/>
      <c r="G475" s="9"/>
      <c r="H475" s="59"/>
      <c r="I475" s="59"/>
      <c r="J475" s="59"/>
      <c r="K475" s="59"/>
      <c r="L475" s="59"/>
      <c r="M475" s="59"/>
      <c r="N475" s="21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10"/>
      <c r="AA475" s="74"/>
      <c r="AB475" s="59"/>
      <c r="AC475" s="9"/>
    </row>
    <row r="476">
      <c r="A476" s="9"/>
      <c r="B476" s="19"/>
      <c r="C476" s="9"/>
      <c r="D476" s="9"/>
      <c r="E476" s="59"/>
      <c r="F476" s="9"/>
      <c r="G476" s="9"/>
      <c r="H476" s="59"/>
      <c r="I476" s="59"/>
      <c r="J476" s="59"/>
      <c r="K476" s="59"/>
      <c r="L476" s="59"/>
      <c r="M476" s="59"/>
      <c r="N476" s="21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10"/>
      <c r="AA476" s="74"/>
      <c r="AB476" s="59"/>
      <c r="AC476" s="9"/>
    </row>
    <row r="477">
      <c r="A477" s="9"/>
      <c r="B477" s="19"/>
      <c r="C477" s="9"/>
      <c r="D477" s="9"/>
      <c r="E477" s="59"/>
      <c r="F477" s="9"/>
      <c r="G477" s="9"/>
      <c r="H477" s="59"/>
      <c r="I477" s="59"/>
      <c r="J477" s="59"/>
      <c r="K477" s="59"/>
      <c r="L477" s="59"/>
      <c r="M477" s="59"/>
      <c r="N477" s="21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10"/>
      <c r="AA477" s="74"/>
      <c r="AB477" s="59"/>
      <c r="AC477" s="9"/>
    </row>
    <row r="478">
      <c r="A478" s="9"/>
      <c r="B478" s="19"/>
      <c r="C478" s="9"/>
      <c r="D478" s="9"/>
      <c r="E478" s="59"/>
      <c r="F478" s="9"/>
      <c r="G478" s="9"/>
      <c r="H478" s="59"/>
      <c r="I478" s="59"/>
      <c r="J478" s="59"/>
      <c r="K478" s="59"/>
      <c r="L478" s="59"/>
      <c r="M478" s="59"/>
      <c r="N478" s="21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10"/>
      <c r="AA478" s="74"/>
      <c r="AB478" s="59"/>
      <c r="AC478" s="9"/>
    </row>
    <row r="479">
      <c r="A479" s="9"/>
      <c r="B479" s="19"/>
      <c r="C479" s="9"/>
      <c r="D479" s="9"/>
      <c r="E479" s="59"/>
      <c r="F479" s="9"/>
      <c r="G479" s="9"/>
      <c r="H479" s="59"/>
      <c r="I479" s="59"/>
      <c r="J479" s="59"/>
      <c r="K479" s="59"/>
      <c r="L479" s="59"/>
      <c r="M479" s="59"/>
      <c r="N479" s="21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10"/>
      <c r="AA479" s="74"/>
      <c r="AB479" s="59"/>
      <c r="AC479" s="9"/>
    </row>
    <row r="480">
      <c r="A480" s="9"/>
      <c r="B480" s="19"/>
      <c r="C480" s="9"/>
      <c r="D480" s="9"/>
      <c r="E480" s="59"/>
      <c r="F480" s="9"/>
      <c r="G480" s="9"/>
      <c r="H480" s="59"/>
      <c r="I480" s="59"/>
      <c r="J480" s="59"/>
      <c r="K480" s="59"/>
      <c r="L480" s="59"/>
      <c r="M480" s="59"/>
      <c r="N480" s="21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10"/>
      <c r="AA480" s="74"/>
      <c r="AB480" s="59"/>
      <c r="AC480" s="9"/>
    </row>
    <row r="481">
      <c r="A481" s="9"/>
      <c r="B481" s="19"/>
      <c r="C481" s="9"/>
      <c r="D481" s="9"/>
      <c r="E481" s="59"/>
      <c r="F481" s="9"/>
      <c r="G481" s="9"/>
      <c r="H481" s="59"/>
      <c r="I481" s="59"/>
      <c r="J481" s="59"/>
      <c r="K481" s="59"/>
      <c r="L481" s="59"/>
      <c r="M481" s="59"/>
      <c r="N481" s="21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10"/>
      <c r="AA481" s="74"/>
      <c r="AB481" s="59"/>
      <c r="AC481" s="9"/>
    </row>
    <row r="482">
      <c r="A482" s="9"/>
      <c r="B482" s="19"/>
      <c r="C482" s="9"/>
      <c r="D482" s="9"/>
      <c r="E482" s="59"/>
      <c r="F482" s="9"/>
      <c r="G482" s="9"/>
      <c r="H482" s="59"/>
      <c r="I482" s="59"/>
      <c r="J482" s="59"/>
      <c r="K482" s="59"/>
      <c r="L482" s="59"/>
      <c r="M482" s="59"/>
      <c r="N482" s="21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10"/>
      <c r="AA482" s="74"/>
      <c r="AB482" s="59"/>
      <c r="AC482" s="9"/>
    </row>
    <row r="483">
      <c r="A483" s="9"/>
      <c r="B483" s="19"/>
      <c r="C483" s="9"/>
      <c r="D483" s="9"/>
      <c r="E483" s="59"/>
      <c r="F483" s="9"/>
      <c r="G483" s="9"/>
      <c r="H483" s="59"/>
      <c r="I483" s="59"/>
      <c r="J483" s="59"/>
      <c r="K483" s="59"/>
      <c r="L483" s="59"/>
      <c r="M483" s="59"/>
      <c r="N483" s="21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10"/>
      <c r="AA483" s="74"/>
      <c r="AB483" s="59"/>
      <c r="AC483" s="9"/>
    </row>
    <row r="484">
      <c r="A484" s="9"/>
      <c r="B484" s="19"/>
      <c r="C484" s="9"/>
      <c r="D484" s="9"/>
      <c r="E484" s="59"/>
      <c r="F484" s="9"/>
      <c r="G484" s="9"/>
      <c r="H484" s="59"/>
      <c r="I484" s="59"/>
      <c r="J484" s="59"/>
      <c r="K484" s="59"/>
      <c r="L484" s="59"/>
      <c r="M484" s="59"/>
      <c r="N484" s="21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10"/>
      <c r="AA484" s="74"/>
      <c r="AB484" s="59"/>
      <c r="AC484" s="9"/>
    </row>
    <row r="485">
      <c r="A485" s="9"/>
      <c r="B485" s="19"/>
      <c r="C485" s="9"/>
      <c r="D485" s="9"/>
      <c r="E485" s="59"/>
      <c r="F485" s="9"/>
      <c r="G485" s="9"/>
      <c r="H485" s="59"/>
      <c r="I485" s="59"/>
      <c r="J485" s="59"/>
      <c r="K485" s="59"/>
      <c r="L485" s="59"/>
      <c r="M485" s="59"/>
      <c r="N485" s="21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10"/>
      <c r="AA485" s="74"/>
      <c r="AB485" s="59"/>
      <c r="AC485" s="9"/>
    </row>
    <row r="486">
      <c r="A486" s="9"/>
      <c r="B486" s="19"/>
      <c r="C486" s="9"/>
      <c r="D486" s="9"/>
      <c r="E486" s="59"/>
      <c r="F486" s="9"/>
      <c r="G486" s="9"/>
      <c r="H486" s="59"/>
      <c r="I486" s="59"/>
      <c r="J486" s="59"/>
      <c r="K486" s="59"/>
      <c r="L486" s="59"/>
      <c r="M486" s="59"/>
      <c r="N486" s="21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10"/>
      <c r="AA486" s="74"/>
      <c r="AB486" s="59"/>
      <c r="AC486" s="9"/>
    </row>
    <row r="487">
      <c r="A487" s="9"/>
      <c r="B487" s="19"/>
      <c r="C487" s="9"/>
      <c r="D487" s="9"/>
      <c r="E487" s="59"/>
      <c r="F487" s="9"/>
      <c r="G487" s="9"/>
      <c r="H487" s="59"/>
      <c r="I487" s="59"/>
      <c r="J487" s="59"/>
      <c r="K487" s="59"/>
      <c r="L487" s="59"/>
      <c r="M487" s="59"/>
      <c r="N487" s="21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10"/>
      <c r="AA487" s="74"/>
      <c r="AB487" s="59"/>
      <c r="AC487" s="9"/>
    </row>
    <row r="488">
      <c r="A488" s="9"/>
      <c r="B488" s="19"/>
      <c r="C488" s="9"/>
      <c r="D488" s="9"/>
      <c r="E488" s="59"/>
      <c r="F488" s="9"/>
      <c r="G488" s="9"/>
      <c r="H488" s="59"/>
      <c r="I488" s="59"/>
      <c r="J488" s="59"/>
      <c r="K488" s="59"/>
      <c r="L488" s="59"/>
      <c r="M488" s="59"/>
      <c r="N488" s="21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10"/>
      <c r="AA488" s="74"/>
      <c r="AB488" s="59"/>
      <c r="AC488" s="9"/>
    </row>
    <row r="489">
      <c r="A489" s="9"/>
      <c r="B489" s="19"/>
      <c r="C489" s="9"/>
      <c r="D489" s="9"/>
      <c r="E489" s="59"/>
      <c r="F489" s="9"/>
      <c r="G489" s="9"/>
      <c r="H489" s="59"/>
      <c r="I489" s="59"/>
      <c r="J489" s="59"/>
      <c r="K489" s="59"/>
      <c r="L489" s="59"/>
      <c r="M489" s="59"/>
      <c r="N489" s="21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10"/>
      <c r="AA489" s="74"/>
      <c r="AB489" s="59"/>
      <c r="AC489" s="9"/>
    </row>
    <row r="490">
      <c r="A490" s="9"/>
      <c r="B490" s="19"/>
      <c r="C490" s="9"/>
      <c r="D490" s="9"/>
      <c r="E490" s="59"/>
      <c r="F490" s="9"/>
      <c r="G490" s="9"/>
      <c r="H490" s="59"/>
      <c r="I490" s="59"/>
      <c r="J490" s="59"/>
      <c r="K490" s="59"/>
      <c r="L490" s="59"/>
      <c r="M490" s="59"/>
      <c r="N490" s="21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10"/>
      <c r="AA490" s="74"/>
      <c r="AB490" s="59"/>
      <c r="AC490" s="9"/>
    </row>
    <row r="491">
      <c r="A491" s="9"/>
      <c r="B491" s="19"/>
      <c r="C491" s="9"/>
      <c r="D491" s="9"/>
      <c r="E491" s="59"/>
      <c r="F491" s="9"/>
      <c r="G491" s="9"/>
      <c r="H491" s="59"/>
      <c r="I491" s="59"/>
      <c r="J491" s="59"/>
      <c r="K491" s="59"/>
      <c r="L491" s="59"/>
      <c r="M491" s="59"/>
      <c r="N491" s="21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10"/>
      <c r="AA491" s="74"/>
      <c r="AB491" s="59"/>
      <c r="AC491" s="9"/>
    </row>
    <row r="492">
      <c r="A492" s="9"/>
      <c r="B492" s="19"/>
      <c r="C492" s="9"/>
      <c r="D492" s="9"/>
      <c r="E492" s="59"/>
      <c r="F492" s="9"/>
      <c r="G492" s="9"/>
      <c r="H492" s="59"/>
      <c r="I492" s="59"/>
      <c r="J492" s="59"/>
      <c r="K492" s="59"/>
      <c r="L492" s="59"/>
      <c r="M492" s="59"/>
      <c r="N492" s="21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10"/>
      <c r="AA492" s="74"/>
      <c r="AB492" s="59"/>
      <c r="AC492" s="9"/>
    </row>
    <row r="493">
      <c r="A493" s="9"/>
      <c r="B493" s="19"/>
      <c r="C493" s="9"/>
      <c r="D493" s="9"/>
      <c r="E493" s="59"/>
      <c r="F493" s="9"/>
      <c r="G493" s="9"/>
      <c r="H493" s="59"/>
      <c r="I493" s="59"/>
      <c r="J493" s="59"/>
      <c r="K493" s="59"/>
      <c r="L493" s="59"/>
      <c r="M493" s="59"/>
      <c r="N493" s="21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10"/>
      <c r="AA493" s="74"/>
      <c r="AB493" s="59"/>
      <c r="AC493" s="9"/>
    </row>
    <row r="494">
      <c r="A494" s="9"/>
      <c r="B494" s="19"/>
      <c r="C494" s="9"/>
      <c r="D494" s="9"/>
      <c r="E494" s="59"/>
      <c r="F494" s="9"/>
      <c r="G494" s="9"/>
      <c r="H494" s="59"/>
      <c r="I494" s="59"/>
      <c r="J494" s="59"/>
      <c r="K494" s="59"/>
      <c r="L494" s="59"/>
      <c r="M494" s="59"/>
      <c r="N494" s="21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10"/>
      <c r="AA494" s="74"/>
      <c r="AB494" s="59"/>
      <c r="AC494" s="9"/>
    </row>
    <row r="495">
      <c r="A495" s="9"/>
      <c r="B495" s="19"/>
      <c r="C495" s="9"/>
      <c r="D495" s="9"/>
      <c r="E495" s="59"/>
      <c r="F495" s="9"/>
      <c r="G495" s="9"/>
      <c r="H495" s="59"/>
      <c r="I495" s="59"/>
      <c r="J495" s="59"/>
      <c r="K495" s="59"/>
      <c r="L495" s="59"/>
      <c r="M495" s="59"/>
      <c r="N495" s="21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10"/>
      <c r="AA495" s="74"/>
      <c r="AB495" s="59"/>
      <c r="AC495" s="9"/>
    </row>
    <row r="496">
      <c r="A496" s="9"/>
      <c r="B496" s="19"/>
      <c r="C496" s="9"/>
      <c r="D496" s="9"/>
      <c r="E496" s="59"/>
      <c r="F496" s="9"/>
      <c r="G496" s="9"/>
      <c r="H496" s="59"/>
      <c r="I496" s="59"/>
      <c r="J496" s="59"/>
      <c r="K496" s="59"/>
      <c r="L496" s="59"/>
      <c r="M496" s="59"/>
      <c r="N496" s="21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10"/>
      <c r="AA496" s="74"/>
      <c r="AB496" s="59"/>
      <c r="AC496" s="9"/>
    </row>
    <row r="497">
      <c r="A497" s="9"/>
      <c r="B497" s="19"/>
      <c r="C497" s="9"/>
      <c r="D497" s="9"/>
      <c r="E497" s="59"/>
      <c r="F497" s="9"/>
      <c r="G497" s="9"/>
      <c r="H497" s="59"/>
      <c r="I497" s="59"/>
      <c r="J497" s="59"/>
      <c r="K497" s="59"/>
      <c r="L497" s="59"/>
      <c r="M497" s="59"/>
      <c r="N497" s="21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10"/>
      <c r="AA497" s="74"/>
      <c r="AB497" s="59"/>
      <c r="AC497" s="9"/>
    </row>
    <row r="498">
      <c r="A498" s="9"/>
      <c r="B498" s="19"/>
      <c r="C498" s="9"/>
      <c r="D498" s="9"/>
      <c r="E498" s="59"/>
      <c r="F498" s="9"/>
      <c r="G498" s="9"/>
      <c r="H498" s="59"/>
      <c r="I498" s="59"/>
      <c r="J498" s="59"/>
      <c r="K498" s="59"/>
      <c r="L498" s="59"/>
      <c r="M498" s="59"/>
      <c r="N498" s="21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10"/>
      <c r="AA498" s="74"/>
      <c r="AB498" s="59"/>
      <c r="AC498" s="9"/>
    </row>
    <row r="499">
      <c r="A499" s="9"/>
      <c r="B499" s="19"/>
      <c r="C499" s="9"/>
      <c r="D499" s="9"/>
      <c r="E499" s="59"/>
      <c r="F499" s="9"/>
      <c r="G499" s="9"/>
      <c r="H499" s="59"/>
      <c r="I499" s="59"/>
      <c r="J499" s="59"/>
      <c r="K499" s="59"/>
      <c r="L499" s="59"/>
      <c r="M499" s="59"/>
      <c r="N499" s="21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10"/>
      <c r="AA499" s="74"/>
      <c r="AB499" s="59"/>
      <c r="AC499" s="9"/>
    </row>
    <row r="500">
      <c r="A500" s="9"/>
      <c r="B500" s="19"/>
      <c r="C500" s="9"/>
      <c r="D500" s="9"/>
      <c r="E500" s="59"/>
      <c r="F500" s="9"/>
      <c r="G500" s="9"/>
      <c r="H500" s="59"/>
      <c r="I500" s="59"/>
      <c r="J500" s="59"/>
      <c r="K500" s="59"/>
      <c r="L500" s="59"/>
      <c r="M500" s="59"/>
      <c r="N500" s="21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10"/>
      <c r="AA500" s="74"/>
      <c r="AB500" s="59"/>
      <c r="AC500" s="9"/>
    </row>
    <row r="501">
      <c r="A501" s="9"/>
      <c r="B501" s="19"/>
      <c r="C501" s="9"/>
      <c r="D501" s="9"/>
      <c r="E501" s="59"/>
      <c r="F501" s="9"/>
      <c r="G501" s="9"/>
      <c r="H501" s="59"/>
      <c r="I501" s="59"/>
      <c r="J501" s="59"/>
      <c r="K501" s="59"/>
      <c r="L501" s="59"/>
      <c r="M501" s="59"/>
      <c r="N501" s="21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10"/>
      <c r="AA501" s="74"/>
      <c r="AB501" s="59"/>
      <c r="AC501" s="9"/>
    </row>
    <row r="502">
      <c r="A502" s="9"/>
      <c r="B502" s="19"/>
      <c r="C502" s="9"/>
      <c r="D502" s="9"/>
      <c r="E502" s="59"/>
      <c r="F502" s="9"/>
      <c r="G502" s="9"/>
      <c r="H502" s="59"/>
      <c r="I502" s="59"/>
      <c r="J502" s="59"/>
      <c r="K502" s="59"/>
      <c r="L502" s="59"/>
      <c r="M502" s="59"/>
      <c r="N502" s="21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10"/>
      <c r="AA502" s="74"/>
      <c r="AB502" s="59"/>
      <c r="AC502" s="9"/>
    </row>
    <row r="503">
      <c r="A503" s="9"/>
      <c r="B503" s="19"/>
      <c r="C503" s="9"/>
      <c r="D503" s="9"/>
      <c r="E503" s="59"/>
      <c r="F503" s="9"/>
      <c r="G503" s="9"/>
      <c r="H503" s="59"/>
      <c r="I503" s="59"/>
      <c r="J503" s="59"/>
      <c r="K503" s="59"/>
      <c r="L503" s="59"/>
      <c r="M503" s="59"/>
      <c r="N503" s="21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10"/>
      <c r="AA503" s="74"/>
      <c r="AB503" s="59"/>
      <c r="AC503" s="9"/>
    </row>
    <row r="504">
      <c r="A504" s="9"/>
      <c r="B504" s="19"/>
      <c r="C504" s="9"/>
      <c r="D504" s="9"/>
      <c r="E504" s="59"/>
      <c r="F504" s="9"/>
      <c r="G504" s="9"/>
      <c r="H504" s="59"/>
      <c r="I504" s="59"/>
      <c r="J504" s="59"/>
      <c r="K504" s="59"/>
      <c r="L504" s="59"/>
      <c r="M504" s="59"/>
      <c r="N504" s="21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10"/>
      <c r="AA504" s="74"/>
      <c r="AB504" s="59"/>
      <c r="AC504" s="9"/>
    </row>
    <row r="505">
      <c r="A505" s="9"/>
      <c r="B505" s="19"/>
      <c r="C505" s="9"/>
      <c r="D505" s="9"/>
      <c r="E505" s="59"/>
      <c r="F505" s="9"/>
      <c r="G505" s="9"/>
      <c r="H505" s="59"/>
      <c r="I505" s="59"/>
      <c r="J505" s="59"/>
      <c r="K505" s="59"/>
      <c r="L505" s="59"/>
      <c r="M505" s="59"/>
      <c r="N505" s="21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10"/>
      <c r="AA505" s="74"/>
      <c r="AB505" s="59"/>
      <c r="AC505" s="9"/>
    </row>
    <row r="506">
      <c r="A506" s="9"/>
      <c r="B506" s="19"/>
      <c r="C506" s="9"/>
      <c r="D506" s="9"/>
      <c r="E506" s="59"/>
      <c r="F506" s="9"/>
      <c r="G506" s="9"/>
      <c r="H506" s="59"/>
      <c r="I506" s="59"/>
      <c r="J506" s="59"/>
      <c r="K506" s="59"/>
      <c r="L506" s="59"/>
      <c r="M506" s="59"/>
      <c r="N506" s="21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10"/>
      <c r="AA506" s="74"/>
      <c r="AB506" s="59"/>
      <c r="AC506" s="9"/>
    </row>
    <row r="507">
      <c r="A507" s="9"/>
      <c r="B507" s="19"/>
      <c r="C507" s="9"/>
      <c r="D507" s="9"/>
      <c r="E507" s="59"/>
      <c r="F507" s="9"/>
      <c r="G507" s="9"/>
      <c r="H507" s="59"/>
      <c r="I507" s="59"/>
      <c r="J507" s="59"/>
      <c r="K507" s="59"/>
      <c r="L507" s="59"/>
      <c r="M507" s="59"/>
      <c r="N507" s="21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10"/>
      <c r="AA507" s="74"/>
      <c r="AB507" s="59"/>
      <c r="AC507" s="9"/>
    </row>
    <row r="508">
      <c r="A508" s="9"/>
      <c r="B508" s="19"/>
      <c r="C508" s="9"/>
      <c r="D508" s="9"/>
      <c r="E508" s="59"/>
      <c r="F508" s="9"/>
      <c r="G508" s="9"/>
      <c r="H508" s="59"/>
      <c r="I508" s="59"/>
      <c r="J508" s="59"/>
      <c r="K508" s="59"/>
      <c r="L508" s="59"/>
      <c r="M508" s="59"/>
      <c r="N508" s="21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10"/>
      <c r="AA508" s="74"/>
      <c r="AB508" s="59"/>
      <c r="AC508" s="9"/>
    </row>
    <row r="509">
      <c r="A509" s="9"/>
      <c r="B509" s="19"/>
      <c r="C509" s="9"/>
      <c r="D509" s="9"/>
      <c r="E509" s="59"/>
      <c r="F509" s="9"/>
      <c r="G509" s="9"/>
      <c r="H509" s="59"/>
      <c r="I509" s="59"/>
      <c r="J509" s="59"/>
      <c r="K509" s="59"/>
      <c r="L509" s="59"/>
      <c r="M509" s="59"/>
      <c r="N509" s="21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10"/>
      <c r="AA509" s="74"/>
      <c r="AB509" s="59"/>
      <c r="AC509" s="9"/>
    </row>
    <row r="510">
      <c r="A510" s="9"/>
      <c r="B510" s="19"/>
      <c r="C510" s="9"/>
      <c r="D510" s="9"/>
      <c r="E510" s="59"/>
      <c r="F510" s="9"/>
      <c r="G510" s="9"/>
      <c r="H510" s="59"/>
      <c r="I510" s="59"/>
      <c r="J510" s="59"/>
      <c r="K510" s="59"/>
      <c r="L510" s="59"/>
      <c r="M510" s="59"/>
      <c r="N510" s="21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10"/>
      <c r="AA510" s="74"/>
      <c r="AB510" s="59"/>
      <c r="AC510" s="9"/>
    </row>
    <row r="511">
      <c r="A511" s="9"/>
      <c r="B511" s="19"/>
      <c r="C511" s="9"/>
      <c r="D511" s="9"/>
      <c r="E511" s="59"/>
      <c r="F511" s="9"/>
      <c r="G511" s="9"/>
      <c r="H511" s="59"/>
      <c r="I511" s="59"/>
      <c r="J511" s="59"/>
      <c r="K511" s="59"/>
      <c r="L511" s="59"/>
      <c r="M511" s="59"/>
      <c r="N511" s="21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10"/>
      <c r="AA511" s="74"/>
      <c r="AB511" s="59"/>
      <c r="AC511" s="9"/>
    </row>
    <row r="512">
      <c r="A512" s="9"/>
      <c r="B512" s="19"/>
      <c r="C512" s="9"/>
      <c r="D512" s="9"/>
      <c r="E512" s="59"/>
      <c r="F512" s="9"/>
      <c r="G512" s="9"/>
      <c r="H512" s="59"/>
      <c r="I512" s="59"/>
      <c r="J512" s="59"/>
      <c r="K512" s="59"/>
      <c r="L512" s="59"/>
      <c r="M512" s="59"/>
      <c r="N512" s="21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10"/>
      <c r="AA512" s="74"/>
      <c r="AB512" s="59"/>
      <c r="AC512" s="9"/>
    </row>
    <row r="513">
      <c r="A513" s="9"/>
      <c r="B513" s="19"/>
      <c r="C513" s="9"/>
      <c r="D513" s="9"/>
      <c r="E513" s="59"/>
      <c r="F513" s="9"/>
      <c r="G513" s="9"/>
      <c r="H513" s="59"/>
      <c r="I513" s="59"/>
      <c r="J513" s="59"/>
      <c r="K513" s="59"/>
      <c r="L513" s="59"/>
      <c r="M513" s="59"/>
      <c r="N513" s="21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10"/>
      <c r="AA513" s="74"/>
      <c r="AB513" s="59"/>
      <c r="AC513" s="9"/>
    </row>
    <row r="514">
      <c r="A514" s="9"/>
      <c r="B514" s="19"/>
      <c r="C514" s="9"/>
      <c r="D514" s="9"/>
      <c r="E514" s="59"/>
      <c r="F514" s="9"/>
      <c r="G514" s="9"/>
      <c r="H514" s="59"/>
      <c r="I514" s="59"/>
      <c r="J514" s="59"/>
      <c r="K514" s="59"/>
      <c r="L514" s="59"/>
      <c r="M514" s="59"/>
      <c r="N514" s="21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10"/>
      <c r="AA514" s="74"/>
      <c r="AB514" s="59"/>
      <c r="AC514" s="9"/>
    </row>
    <row r="515">
      <c r="A515" s="9"/>
      <c r="B515" s="19"/>
      <c r="C515" s="9"/>
      <c r="D515" s="9"/>
      <c r="E515" s="59"/>
      <c r="F515" s="9"/>
      <c r="G515" s="9"/>
      <c r="H515" s="59"/>
      <c r="I515" s="59"/>
      <c r="J515" s="59"/>
      <c r="K515" s="59"/>
      <c r="L515" s="59"/>
      <c r="M515" s="59"/>
      <c r="N515" s="21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10"/>
      <c r="AA515" s="74"/>
      <c r="AB515" s="59"/>
      <c r="AC515" s="9"/>
    </row>
    <row r="516">
      <c r="A516" s="9"/>
      <c r="B516" s="19"/>
      <c r="C516" s="9"/>
      <c r="D516" s="9"/>
      <c r="E516" s="59"/>
      <c r="F516" s="9"/>
      <c r="G516" s="9"/>
      <c r="H516" s="59"/>
      <c r="I516" s="59"/>
      <c r="J516" s="59"/>
      <c r="K516" s="59"/>
      <c r="L516" s="59"/>
      <c r="M516" s="59"/>
      <c r="N516" s="21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10"/>
      <c r="AA516" s="74"/>
      <c r="AB516" s="59"/>
      <c r="AC516" s="9"/>
    </row>
    <row r="517">
      <c r="A517" s="9"/>
      <c r="B517" s="19"/>
      <c r="C517" s="9"/>
      <c r="D517" s="9"/>
      <c r="E517" s="59"/>
      <c r="F517" s="9"/>
      <c r="G517" s="9"/>
      <c r="H517" s="59"/>
      <c r="I517" s="59"/>
      <c r="J517" s="59"/>
      <c r="K517" s="59"/>
      <c r="L517" s="59"/>
      <c r="M517" s="59"/>
      <c r="N517" s="21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10"/>
      <c r="AA517" s="74"/>
      <c r="AB517" s="59"/>
      <c r="AC517" s="9"/>
    </row>
    <row r="518">
      <c r="A518" s="9"/>
      <c r="B518" s="19"/>
      <c r="C518" s="9"/>
      <c r="D518" s="9"/>
      <c r="E518" s="59"/>
      <c r="F518" s="9"/>
      <c r="G518" s="9"/>
      <c r="H518" s="59"/>
      <c r="I518" s="59"/>
      <c r="J518" s="59"/>
      <c r="K518" s="59"/>
      <c r="L518" s="59"/>
      <c r="M518" s="59"/>
      <c r="N518" s="21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10"/>
      <c r="AA518" s="74"/>
      <c r="AB518" s="59"/>
      <c r="AC518" s="9"/>
    </row>
    <row r="519">
      <c r="A519" s="9"/>
      <c r="B519" s="19"/>
      <c r="C519" s="9"/>
      <c r="D519" s="9"/>
      <c r="E519" s="59"/>
      <c r="F519" s="9"/>
      <c r="G519" s="9"/>
      <c r="H519" s="59"/>
      <c r="I519" s="59"/>
      <c r="J519" s="59"/>
      <c r="K519" s="59"/>
      <c r="L519" s="59"/>
      <c r="M519" s="59"/>
      <c r="N519" s="21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10"/>
      <c r="AA519" s="74"/>
      <c r="AB519" s="59"/>
      <c r="AC519" s="9"/>
    </row>
    <row r="520">
      <c r="A520" s="9"/>
      <c r="B520" s="19"/>
      <c r="C520" s="9"/>
      <c r="D520" s="9"/>
      <c r="E520" s="59"/>
      <c r="F520" s="9"/>
      <c r="G520" s="9"/>
      <c r="H520" s="59"/>
      <c r="I520" s="59"/>
      <c r="J520" s="59"/>
      <c r="K520" s="59"/>
      <c r="L520" s="59"/>
      <c r="M520" s="59"/>
      <c r="N520" s="21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10"/>
      <c r="AA520" s="74"/>
      <c r="AB520" s="59"/>
      <c r="AC520" s="9"/>
    </row>
    <row r="521">
      <c r="A521" s="9"/>
      <c r="B521" s="19"/>
      <c r="C521" s="9"/>
      <c r="D521" s="9"/>
      <c r="E521" s="59"/>
      <c r="F521" s="9"/>
      <c r="G521" s="9"/>
      <c r="H521" s="59"/>
      <c r="I521" s="59"/>
      <c r="J521" s="59"/>
      <c r="K521" s="59"/>
      <c r="L521" s="59"/>
      <c r="M521" s="59"/>
      <c r="N521" s="21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10"/>
      <c r="AA521" s="74"/>
      <c r="AB521" s="59"/>
      <c r="AC521" s="9"/>
    </row>
    <row r="522">
      <c r="A522" s="9"/>
      <c r="B522" s="19"/>
      <c r="C522" s="9"/>
      <c r="D522" s="9"/>
      <c r="E522" s="59"/>
      <c r="F522" s="9"/>
      <c r="G522" s="9"/>
      <c r="H522" s="59"/>
      <c r="I522" s="59"/>
      <c r="J522" s="59"/>
      <c r="K522" s="59"/>
      <c r="L522" s="59"/>
      <c r="M522" s="59"/>
      <c r="N522" s="21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10"/>
      <c r="AA522" s="74"/>
      <c r="AB522" s="59"/>
      <c r="AC522" s="9"/>
    </row>
    <row r="523">
      <c r="A523" s="9"/>
      <c r="B523" s="19"/>
      <c r="C523" s="9"/>
      <c r="D523" s="9"/>
      <c r="E523" s="59"/>
      <c r="F523" s="9"/>
      <c r="G523" s="9"/>
      <c r="H523" s="59"/>
      <c r="I523" s="59"/>
      <c r="J523" s="59"/>
      <c r="K523" s="59"/>
      <c r="L523" s="59"/>
      <c r="M523" s="59"/>
      <c r="N523" s="21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10"/>
      <c r="AA523" s="74"/>
      <c r="AB523" s="59"/>
      <c r="AC523" s="9"/>
    </row>
    <row r="524">
      <c r="A524" s="9"/>
      <c r="B524" s="19"/>
      <c r="C524" s="9"/>
      <c r="D524" s="9"/>
      <c r="E524" s="59"/>
      <c r="F524" s="9"/>
      <c r="G524" s="9"/>
      <c r="H524" s="59"/>
      <c r="I524" s="59"/>
      <c r="J524" s="59"/>
      <c r="K524" s="59"/>
      <c r="L524" s="59"/>
      <c r="M524" s="59"/>
      <c r="N524" s="21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10"/>
      <c r="AA524" s="74"/>
      <c r="AB524" s="59"/>
      <c r="AC524" s="9"/>
    </row>
    <row r="525">
      <c r="A525" s="9"/>
      <c r="B525" s="19"/>
      <c r="C525" s="9"/>
      <c r="D525" s="9"/>
      <c r="E525" s="59"/>
      <c r="F525" s="9"/>
      <c r="G525" s="9"/>
      <c r="H525" s="59"/>
      <c r="I525" s="59"/>
      <c r="J525" s="59"/>
      <c r="K525" s="59"/>
      <c r="L525" s="59"/>
      <c r="M525" s="59"/>
      <c r="N525" s="21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10"/>
      <c r="AA525" s="74"/>
      <c r="AB525" s="59"/>
      <c r="AC525" s="9"/>
    </row>
    <row r="526">
      <c r="A526" s="9"/>
      <c r="B526" s="19"/>
      <c r="C526" s="9"/>
      <c r="D526" s="9"/>
      <c r="E526" s="59"/>
      <c r="F526" s="9"/>
      <c r="G526" s="9"/>
      <c r="H526" s="59"/>
      <c r="I526" s="59"/>
      <c r="J526" s="59"/>
      <c r="K526" s="59"/>
      <c r="L526" s="59"/>
      <c r="M526" s="59"/>
      <c r="N526" s="21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10"/>
      <c r="AA526" s="74"/>
      <c r="AB526" s="59"/>
      <c r="AC526" s="9"/>
    </row>
    <row r="527">
      <c r="A527" s="9"/>
      <c r="B527" s="19"/>
      <c r="C527" s="9"/>
      <c r="D527" s="9"/>
      <c r="E527" s="59"/>
      <c r="F527" s="9"/>
      <c r="G527" s="9"/>
      <c r="H527" s="59"/>
      <c r="I527" s="59"/>
      <c r="J527" s="59"/>
      <c r="K527" s="59"/>
      <c r="L527" s="59"/>
      <c r="M527" s="59"/>
      <c r="N527" s="21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10"/>
      <c r="AA527" s="74"/>
      <c r="AB527" s="59"/>
      <c r="AC527" s="9"/>
    </row>
    <row r="528">
      <c r="A528" s="9"/>
      <c r="B528" s="19"/>
      <c r="C528" s="9"/>
      <c r="D528" s="9"/>
      <c r="E528" s="59"/>
      <c r="F528" s="9"/>
      <c r="G528" s="9"/>
      <c r="H528" s="59"/>
      <c r="I528" s="59"/>
      <c r="J528" s="59"/>
      <c r="K528" s="59"/>
      <c r="L528" s="59"/>
      <c r="M528" s="59"/>
      <c r="N528" s="21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10"/>
      <c r="AA528" s="74"/>
      <c r="AB528" s="59"/>
      <c r="AC528" s="9"/>
    </row>
    <row r="529">
      <c r="A529" s="9"/>
      <c r="B529" s="19"/>
      <c r="C529" s="9"/>
      <c r="D529" s="9"/>
      <c r="E529" s="59"/>
      <c r="F529" s="9"/>
      <c r="G529" s="9"/>
      <c r="H529" s="59"/>
      <c r="I529" s="59"/>
      <c r="J529" s="59"/>
      <c r="K529" s="59"/>
      <c r="L529" s="59"/>
      <c r="M529" s="59"/>
      <c r="N529" s="21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10"/>
      <c r="AA529" s="74"/>
      <c r="AB529" s="59"/>
      <c r="AC529" s="9"/>
    </row>
    <row r="530">
      <c r="A530" s="9"/>
      <c r="B530" s="19"/>
      <c r="C530" s="9"/>
      <c r="D530" s="9"/>
      <c r="E530" s="59"/>
      <c r="F530" s="9"/>
      <c r="G530" s="9"/>
      <c r="H530" s="59"/>
      <c r="I530" s="59"/>
      <c r="J530" s="59"/>
      <c r="K530" s="59"/>
      <c r="L530" s="59"/>
      <c r="M530" s="59"/>
      <c r="N530" s="21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10"/>
      <c r="AA530" s="74"/>
      <c r="AB530" s="59"/>
      <c r="AC530" s="9"/>
    </row>
    <row r="531">
      <c r="A531" s="9"/>
      <c r="B531" s="19"/>
      <c r="C531" s="9"/>
      <c r="D531" s="9"/>
      <c r="E531" s="59"/>
      <c r="F531" s="9"/>
      <c r="G531" s="9"/>
      <c r="H531" s="59"/>
      <c r="I531" s="59"/>
      <c r="J531" s="59"/>
      <c r="K531" s="59"/>
      <c r="L531" s="59"/>
      <c r="M531" s="59"/>
      <c r="N531" s="21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10"/>
      <c r="AA531" s="74"/>
      <c r="AB531" s="59"/>
      <c r="AC531" s="9"/>
    </row>
    <row r="532">
      <c r="A532" s="9"/>
      <c r="B532" s="19"/>
      <c r="C532" s="9"/>
      <c r="D532" s="9"/>
      <c r="E532" s="59"/>
      <c r="F532" s="9"/>
      <c r="G532" s="9"/>
      <c r="H532" s="59"/>
      <c r="I532" s="59"/>
      <c r="J532" s="59"/>
      <c r="K532" s="59"/>
      <c r="L532" s="59"/>
      <c r="M532" s="59"/>
      <c r="N532" s="21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10"/>
      <c r="AA532" s="74"/>
      <c r="AB532" s="59"/>
      <c r="AC532" s="9"/>
    </row>
    <row r="533">
      <c r="A533" s="9"/>
      <c r="B533" s="19"/>
      <c r="C533" s="9"/>
      <c r="D533" s="9"/>
      <c r="E533" s="59"/>
      <c r="F533" s="9"/>
      <c r="G533" s="9"/>
      <c r="H533" s="59"/>
      <c r="I533" s="59"/>
      <c r="J533" s="59"/>
      <c r="K533" s="59"/>
      <c r="L533" s="59"/>
      <c r="M533" s="59"/>
      <c r="N533" s="21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10"/>
      <c r="AA533" s="74"/>
      <c r="AB533" s="59"/>
      <c r="AC533" s="9"/>
    </row>
    <row r="534">
      <c r="A534" s="9"/>
      <c r="B534" s="19"/>
      <c r="C534" s="9"/>
      <c r="D534" s="9"/>
      <c r="E534" s="59"/>
      <c r="F534" s="9"/>
      <c r="G534" s="9"/>
      <c r="H534" s="59"/>
      <c r="I534" s="59"/>
      <c r="J534" s="59"/>
      <c r="K534" s="59"/>
      <c r="L534" s="59"/>
      <c r="M534" s="59"/>
      <c r="N534" s="21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10"/>
      <c r="AA534" s="74"/>
      <c r="AB534" s="59"/>
      <c r="AC534" s="9"/>
    </row>
    <row r="535">
      <c r="A535" s="9"/>
      <c r="B535" s="19"/>
      <c r="C535" s="9"/>
      <c r="D535" s="9"/>
      <c r="E535" s="59"/>
      <c r="F535" s="9"/>
      <c r="G535" s="9"/>
      <c r="H535" s="59"/>
      <c r="I535" s="59"/>
      <c r="J535" s="59"/>
      <c r="K535" s="59"/>
      <c r="L535" s="59"/>
      <c r="M535" s="59"/>
      <c r="N535" s="21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10"/>
      <c r="AA535" s="74"/>
      <c r="AB535" s="59"/>
      <c r="AC535" s="9"/>
    </row>
    <row r="536">
      <c r="A536" s="9"/>
      <c r="B536" s="19"/>
      <c r="C536" s="9"/>
      <c r="D536" s="9"/>
      <c r="E536" s="59"/>
      <c r="F536" s="9"/>
      <c r="G536" s="9"/>
      <c r="H536" s="59"/>
      <c r="I536" s="59"/>
      <c r="J536" s="59"/>
      <c r="K536" s="59"/>
      <c r="L536" s="59"/>
      <c r="M536" s="59"/>
      <c r="N536" s="21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10"/>
      <c r="AA536" s="74"/>
      <c r="AB536" s="59"/>
      <c r="AC536" s="9"/>
    </row>
    <row r="537">
      <c r="A537" s="9"/>
      <c r="B537" s="19"/>
      <c r="C537" s="9"/>
      <c r="D537" s="9"/>
      <c r="E537" s="59"/>
      <c r="F537" s="9"/>
      <c r="G537" s="9"/>
      <c r="H537" s="59"/>
      <c r="I537" s="59"/>
      <c r="J537" s="59"/>
      <c r="K537" s="59"/>
      <c r="L537" s="59"/>
      <c r="M537" s="59"/>
      <c r="N537" s="21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10"/>
      <c r="AA537" s="74"/>
      <c r="AB537" s="59"/>
      <c r="AC537" s="9"/>
    </row>
    <row r="538">
      <c r="A538" s="9"/>
      <c r="B538" s="19"/>
      <c r="C538" s="9"/>
      <c r="D538" s="9"/>
      <c r="E538" s="59"/>
      <c r="F538" s="9"/>
      <c r="G538" s="9"/>
      <c r="H538" s="59"/>
      <c r="I538" s="59"/>
      <c r="J538" s="59"/>
      <c r="K538" s="59"/>
      <c r="L538" s="59"/>
      <c r="M538" s="59"/>
      <c r="N538" s="21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10"/>
      <c r="AA538" s="74"/>
      <c r="AB538" s="59"/>
      <c r="AC538" s="9"/>
    </row>
    <row r="539">
      <c r="A539" s="9"/>
      <c r="B539" s="19"/>
      <c r="C539" s="9"/>
      <c r="D539" s="9"/>
      <c r="E539" s="59"/>
      <c r="F539" s="9"/>
      <c r="G539" s="9"/>
      <c r="H539" s="59"/>
      <c r="I539" s="59"/>
      <c r="J539" s="59"/>
      <c r="K539" s="59"/>
      <c r="L539" s="59"/>
      <c r="M539" s="59"/>
      <c r="N539" s="21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10"/>
      <c r="AA539" s="74"/>
      <c r="AB539" s="59"/>
      <c r="AC539" s="9"/>
    </row>
    <row r="540">
      <c r="A540" s="9"/>
      <c r="B540" s="19"/>
      <c r="C540" s="9"/>
      <c r="D540" s="9"/>
      <c r="E540" s="59"/>
      <c r="F540" s="9"/>
      <c r="G540" s="9"/>
      <c r="H540" s="59"/>
      <c r="I540" s="59"/>
      <c r="J540" s="59"/>
      <c r="K540" s="59"/>
      <c r="L540" s="59"/>
      <c r="M540" s="59"/>
      <c r="N540" s="21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10"/>
      <c r="AA540" s="74"/>
      <c r="AB540" s="59"/>
      <c r="AC540" s="9"/>
    </row>
    <row r="541">
      <c r="A541" s="9"/>
      <c r="B541" s="19"/>
      <c r="C541" s="9"/>
      <c r="D541" s="9"/>
      <c r="E541" s="59"/>
      <c r="F541" s="9"/>
      <c r="G541" s="9"/>
      <c r="H541" s="59"/>
      <c r="I541" s="59"/>
      <c r="J541" s="59"/>
      <c r="K541" s="59"/>
      <c r="L541" s="59"/>
      <c r="M541" s="59"/>
      <c r="N541" s="21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10"/>
      <c r="AA541" s="74"/>
      <c r="AB541" s="59"/>
      <c r="AC541" s="9"/>
    </row>
    <row r="542">
      <c r="A542" s="9"/>
      <c r="B542" s="19"/>
      <c r="C542" s="9"/>
      <c r="D542" s="9"/>
      <c r="E542" s="59"/>
      <c r="F542" s="9"/>
      <c r="G542" s="9"/>
      <c r="H542" s="59"/>
      <c r="I542" s="59"/>
      <c r="J542" s="59"/>
      <c r="K542" s="59"/>
      <c r="L542" s="59"/>
      <c r="M542" s="59"/>
      <c r="N542" s="21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10"/>
      <c r="AA542" s="74"/>
      <c r="AB542" s="59"/>
      <c r="AC542" s="9"/>
    </row>
    <row r="543">
      <c r="A543" s="9"/>
      <c r="B543" s="19"/>
      <c r="C543" s="9"/>
      <c r="D543" s="9"/>
      <c r="E543" s="59"/>
      <c r="F543" s="9"/>
      <c r="G543" s="9"/>
      <c r="H543" s="59"/>
      <c r="I543" s="59"/>
      <c r="J543" s="59"/>
      <c r="K543" s="59"/>
      <c r="L543" s="59"/>
      <c r="M543" s="59"/>
      <c r="N543" s="21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10"/>
      <c r="AA543" s="74"/>
      <c r="AB543" s="59"/>
      <c r="AC543" s="9"/>
    </row>
    <row r="544">
      <c r="A544" s="9"/>
      <c r="B544" s="19"/>
      <c r="C544" s="9"/>
      <c r="D544" s="9"/>
      <c r="E544" s="59"/>
      <c r="F544" s="9"/>
      <c r="G544" s="9"/>
      <c r="H544" s="59"/>
      <c r="I544" s="59"/>
      <c r="J544" s="59"/>
      <c r="K544" s="59"/>
      <c r="L544" s="59"/>
      <c r="M544" s="59"/>
      <c r="N544" s="21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10"/>
      <c r="AA544" s="74"/>
      <c r="AB544" s="59"/>
      <c r="AC544" s="9"/>
    </row>
    <row r="545">
      <c r="A545" s="9"/>
      <c r="B545" s="19"/>
      <c r="C545" s="9"/>
      <c r="D545" s="9"/>
      <c r="E545" s="59"/>
      <c r="F545" s="9"/>
      <c r="G545" s="9"/>
      <c r="H545" s="59"/>
      <c r="I545" s="59"/>
      <c r="J545" s="59"/>
      <c r="K545" s="59"/>
      <c r="L545" s="59"/>
      <c r="M545" s="59"/>
      <c r="N545" s="21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10"/>
      <c r="AA545" s="74"/>
      <c r="AB545" s="59"/>
      <c r="AC545" s="9"/>
    </row>
    <row r="546">
      <c r="A546" s="9"/>
      <c r="B546" s="19"/>
      <c r="C546" s="9"/>
      <c r="D546" s="9"/>
      <c r="E546" s="59"/>
      <c r="F546" s="9"/>
      <c r="G546" s="9"/>
      <c r="H546" s="59"/>
      <c r="I546" s="59"/>
      <c r="J546" s="59"/>
      <c r="K546" s="59"/>
      <c r="L546" s="59"/>
      <c r="M546" s="59"/>
      <c r="N546" s="21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10"/>
      <c r="AA546" s="74"/>
      <c r="AB546" s="59"/>
      <c r="AC546" s="9"/>
    </row>
    <row r="547">
      <c r="A547" s="9"/>
      <c r="B547" s="19"/>
      <c r="C547" s="9"/>
      <c r="D547" s="9"/>
      <c r="E547" s="59"/>
      <c r="F547" s="9"/>
      <c r="G547" s="9"/>
      <c r="H547" s="59"/>
      <c r="I547" s="59"/>
      <c r="J547" s="59"/>
      <c r="K547" s="59"/>
      <c r="L547" s="59"/>
      <c r="M547" s="59"/>
      <c r="N547" s="21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10"/>
      <c r="AA547" s="74"/>
      <c r="AB547" s="59"/>
      <c r="AC547" s="9"/>
    </row>
    <row r="548">
      <c r="A548" s="9"/>
      <c r="B548" s="19"/>
      <c r="C548" s="9"/>
      <c r="D548" s="9"/>
      <c r="E548" s="59"/>
      <c r="F548" s="9"/>
      <c r="G548" s="9"/>
      <c r="H548" s="59"/>
      <c r="I548" s="59"/>
      <c r="J548" s="59"/>
      <c r="K548" s="59"/>
      <c r="L548" s="59"/>
      <c r="M548" s="59"/>
      <c r="N548" s="21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10"/>
      <c r="AA548" s="74"/>
      <c r="AB548" s="59"/>
      <c r="AC548" s="9"/>
    </row>
    <row r="549">
      <c r="A549" s="9"/>
      <c r="B549" s="19"/>
      <c r="C549" s="9"/>
      <c r="D549" s="9"/>
      <c r="E549" s="59"/>
      <c r="F549" s="9"/>
      <c r="G549" s="9"/>
      <c r="H549" s="59"/>
      <c r="I549" s="59"/>
      <c r="J549" s="59"/>
      <c r="K549" s="59"/>
      <c r="L549" s="59"/>
      <c r="M549" s="59"/>
      <c r="N549" s="21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10"/>
      <c r="AA549" s="74"/>
      <c r="AB549" s="59"/>
      <c r="AC549" s="9"/>
    </row>
    <row r="550">
      <c r="A550" s="9"/>
      <c r="B550" s="19"/>
      <c r="C550" s="9"/>
      <c r="D550" s="9"/>
      <c r="E550" s="59"/>
      <c r="F550" s="9"/>
      <c r="G550" s="9"/>
      <c r="H550" s="59"/>
      <c r="I550" s="59"/>
      <c r="J550" s="59"/>
      <c r="K550" s="59"/>
      <c r="L550" s="59"/>
      <c r="M550" s="59"/>
      <c r="N550" s="21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10"/>
      <c r="AA550" s="74"/>
      <c r="AB550" s="59"/>
      <c r="AC550" s="9"/>
    </row>
    <row r="551">
      <c r="A551" s="9"/>
      <c r="B551" s="19"/>
      <c r="C551" s="9"/>
      <c r="D551" s="9"/>
      <c r="E551" s="59"/>
      <c r="F551" s="9"/>
      <c r="G551" s="9"/>
      <c r="H551" s="59"/>
      <c r="I551" s="59"/>
      <c r="J551" s="59"/>
      <c r="K551" s="59"/>
      <c r="L551" s="59"/>
      <c r="M551" s="59"/>
      <c r="N551" s="21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10"/>
      <c r="AA551" s="74"/>
      <c r="AB551" s="59"/>
      <c r="AC551" s="9"/>
    </row>
    <row r="552">
      <c r="A552" s="9"/>
      <c r="B552" s="19"/>
      <c r="C552" s="9"/>
      <c r="D552" s="9"/>
      <c r="E552" s="59"/>
      <c r="F552" s="9"/>
      <c r="G552" s="9"/>
      <c r="H552" s="59"/>
      <c r="I552" s="59"/>
      <c r="J552" s="59"/>
      <c r="K552" s="59"/>
      <c r="L552" s="59"/>
      <c r="M552" s="59"/>
      <c r="N552" s="21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10"/>
      <c r="AA552" s="74"/>
      <c r="AB552" s="59"/>
      <c r="AC552" s="9"/>
    </row>
    <row r="553">
      <c r="A553" s="9"/>
      <c r="B553" s="19"/>
      <c r="C553" s="9"/>
      <c r="D553" s="9"/>
      <c r="E553" s="59"/>
      <c r="F553" s="9"/>
      <c r="G553" s="9"/>
      <c r="H553" s="59"/>
      <c r="I553" s="59"/>
      <c r="J553" s="59"/>
      <c r="K553" s="59"/>
      <c r="L553" s="59"/>
      <c r="M553" s="59"/>
      <c r="N553" s="21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10"/>
      <c r="AA553" s="74"/>
      <c r="AB553" s="59"/>
      <c r="AC553" s="9"/>
    </row>
    <row r="554">
      <c r="A554" s="9"/>
      <c r="B554" s="19"/>
      <c r="C554" s="9"/>
      <c r="D554" s="9"/>
      <c r="E554" s="59"/>
      <c r="F554" s="9"/>
      <c r="G554" s="9"/>
      <c r="H554" s="59"/>
      <c r="I554" s="59"/>
      <c r="J554" s="59"/>
      <c r="K554" s="59"/>
      <c r="L554" s="59"/>
      <c r="M554" s="59"/>
      <c r="N554" s="21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10"/>
      <c r="AA554" s="74"/>
      <c r="AB554" s="59"/>
      <c r="AC554" s="9"/>
    </row>
    <row r="555">
      <c r="A555" s="9"/>
      <c r="B555" s="19"/>
      <c r="C555" s="9"/>
      <c r="D555" s="9"/>
      <c r="E555" s="59"/>
      <c r="F555" s="9"/>
      <c r="G555" s="9"/>
      <c r="H555" s="59"/>
      <c r="I555" s="59"/>
      <c r="J555" s="59"/>
      <c r="K555" s="59"/>
      <c r="L555" s="59"/>
      <c r="M555" s="59"/>
      <c r="N555" s="21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10"/>
      <c r="AA555" s="74"/>
      <c r="AB555" s="59"/>
      <c r="AC555" s="9"/>
    </row>
    <row r="556">
      <c r="A556" s="9"/>
      <c r="B556" s="19"/>
      <c r="C556" s="9"/>
      <c r="D556" s="9"/>
      <c r="E556" s="59"/>
      <c r="F556" s="9"/>
      <c r="G556" s="9"/>
      <c r="H556" s="59"/>
      <c r="I556" s="59"/>
      <c r="J556" s="59"/>
      <c r="K556" s="59"/>
      <c r="L556" s="59"/>
      <c r="M556" s="59"/>
      <c r="N556" s="21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10"/>
      <c r="AA556" s="74"/>
      <c r="AB556" s="59"/>
      <c r="AC556" s="9"/>
    </row>
    <row r="557">
      <c r="A557" s="9"/>
      <c r="B557" s="19"/>
      <c r="C557" s="9"/>
      <c r="D557" s="9"/>
      <c r="E557" s="59"/>
      <c r="F557" s="9"/>
      <c r="G557" s="9"/>
      <c r="H557" s="59"/>
      <c r="I557" s="59"/>
      <c r="J557" s="59"/>
      <c r="K557" s="59"/>
      <c r="L557" s="59"/>
      <c r="M557" s="59"/>
      <c r="N557" s="21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10"/>
      <c r="AA557" s="74"/>
      <c r="AB557" s="59"/>
      <c r="AC557" s="9"/>
    </row>
    <row r="558">
      <c r="A558" s="9"/>
      <c r="B558" s="19"/>
      <c r="C558" s="9"/>
      <c r="D558" s="9"/>
      <c r="E558" s="59"/>
      <c r="F558" s="9"/>
      <c r="G558" s="9"/>
      <c r="H558" s="59"/>
      <c r="I558" s="59"/>
      <c r="J558" s="59"/>
      <c r="K558" s="59"/>
      <c r="L558" s="59"/>
      <c r="M558" s="59"/>
      <c r="N558" s="21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10"/>
      <c r="AA558" s="74"/>
      <c r="AB558" s="59"/>
      <c r="AC558" s="9"/>
    </row>
    <row r="559">
      <c r="A559" s="9"/>
      <c r="B559" s="19"/>
      <c r="C559" s="9"/>
      <c r="D559" s="9"/>
      <c r="E559" s="59"/>
      <c r="F559" s="9"/>
      <c r="G559" s="9"/>
      <c r="H559" s="59"/>
      <c r="I559" s="59"/>
      <c r="J559" s="59"/>
      <c r="K559" s="59"/>
      <c r="L559" s="59"/>
      <c r="M559" s="59"/>
      <c r="N559" s="21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10"/>
      <c r="AA559" s="74"/>
      <c r="AB559" s="59"/>
      <c r="AC559" s="9"/>
    </row>
    <row r="560">
      <c r="A560" s="9"/>
      <c r="B560" s="19"/>
      <c r="C560" s="9"/>
      <c r="D560" s="9"/>
      <c r="E560" s="59"/>
      <c r="F560" s="9"/>
      <c r="G560" s="9"/>
      <c r="H560" s="59"/>
      <c r="I560" s="59"/>
      <c r="J560" s="59"/>
      <c r="K560" s="59"/>
      <c r="L560" s="59"/>
      <c r="M560" s="59"/>
      <c r="N560" s="21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10"/>
      <c r="AA560" s="74"/>
      <c r="AB560" s="59"/>
      <c r="AC560" s="9"/>
    </row>
    <row r="561">
      <c r="A561" s="9"/>
      <c r="B561" s="19"/>
      <c r="C561" s="9"/>
      <c r="D561" s="9"/>
      <c r="E561" s="59"/>
      <c r="F561" s="9"/>
      <c r="G561" s="9"/>
      <c r="H561" s="59"/>
      <c r="I561" s="59"/>
      <c r="J561" s="59"/>
      <c r="K561" s="59"/>
      <c r="L561" s="59"/>
      <c r="M561" s="59"/>
      <c r="N561" s="21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10"/>
      <c r="AA561" s="74"/>
      <c r="AB561" s="59"/>
      <c r="AC561" s="9"/>
    </row>
    <row r="562">
      <c r="A562" s="9"/>
      <c r="B562" s="19"/>
      <c r="C562" s="9"/>
      <c r="D562" s="9"/>
      <c r="E562" s="59"/>
      <c r="F562" s="9"/>
      <c r="G562" s="9"/>
      <c r="H562" s="59"/>
      <c r="I562" s="59"/>
      <c r="J562" s="59"/>
      <c r="K562" s="59"/>
      <c r="L562" s="59"/>
      <c r="M562" s="59"/>
      <c r="N562" s="21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10"/>
      <c r="AA562" s="74"/>
      <c r="AB562" s="59"/>
      <c r="AC562" s="9"/>
    </row>
    <row r="563">
      <c r="A563" s="9"/>
      <c r="B563" s="19"/>
      <c r="C563" s="9"/>
      <c r="D563" s="9"/>
      <c r="E563" s="59"/>
      <c r="F563" s="9"/>
      <c r="G563" s="9"/>
      <c r="H563" s="59"/>
      <c r="I563" s="59"/>
      <c r="J563" s="59"/>
      <c r="K563" s="59"/>
      <c r="L563" s="59"/>
      <c r="M563" s="59"/>
      <c r="N563" s="21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10"/>
      <c r="AA563" s="74"/>
      <c r="AB563" s="59"/>
      <c r="AC563" s="9"/>
    </row>
    <row r="564">
      <c r="A564" s="9"/>
      <c r="B564" s="19"/>
      <c r="C564" s="9"/>
      <c r="D564" s="9"/>
      <c r="E564" s="59"/>
      <c r="F564" s="9"/>
      <c r="G564" s="9"/>
      <c r="H564" s="59"/>
      <c r="I564" s="59"/>
      <c r="J564" s="59"/>
      <c r="K564" s="59"/>
      <c r="L564" s="59"/>
      <c r="M564" s="59"/>
      <c r="N564" s="21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10"/>
      <c r="AA564" s="74"/>
      <c r="AB564" s="59"/>
      <c r="AC564" s="9"/>
    </row>
    <row r="565">
      <c r="A565" s="9"/>
      <c r="B565" s="19"/>
      <c r="C565" s="9"/>
      <c r="D565" s="9"/>
      <c r="E565" s="59"/>
      <c r="F565" s="9"/>
      <c r="G565" s="9"/>
      <c r="H565" s="59"/>
      <c r="I565" s="59"/>
      <c r="J565" s="59"/>
      <c r="K565" s="59"/>
      <c r="L565" s="59"/>
      <c r="M565" s="59"/>
      <c r="N565" s="21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10"/>
      <c r="AA565" s="74"/>
      <c r="AB565" s="59"/>
      <c r="AC565" s="9"/>
    </row>
    <row r="566">
      <c r="A566" s="9"/>
      <c r="B566" s="19"/>
      <c r="C566" s="9"/>
      <c r="D566" s="9"/>
      <c r="E566" s="59"/>
      <c r="F566" s="9"/>
      <c r="G566" s="9"/>
      <c r="H566" s="59"/>
      <c r="I566" s="59"/>
      <c r="J566" s="59"/>
      <c r="K566" s="59"/>
      <c r="L566" s="59"/>
      <c r="M566" s="59"/>
      <c r="N566" s="21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10"/>
      <c r="AA566" s="74"/>
      <c r="AB566" s="59"/>
      <c r="AC566" s="9"/>
    </row>
    <row r="567">
      <c r="A567" s="9"/>
      <c r="B567" s="19"/>
      <c r="C567" s="9"/>
      <c r="D567" s="9"/>
      <c r="E567" s="59"/>
      <c r="F567" s="9"/>
      <c r="G567" s="9"/>
      <c r="H567" s="59"/>
      <c r="I567" s="59"/>
      <c r="J567" s="59"/>
      <c r="K567" s="59"/>
      <c r="L567" s="59"/>
      <c r="M567" s="59"/>
      <c r="N567" s="21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10"/>
      <c r="AA567" s="74"/>
      <c r="AB567" s="59"/>
      <c r="AC567" s="9"/>
    </row>
    <row r="568">
      <c r="A568" s="9"/>
      <c r="B568" s="19"/>
      <c r="C568" s="9"/>
      <c r="D568" s="9"/>
      <c r="E568" s="59"/>
      <c r="F568" s="9"/>
      <c r="G568" s="9"/>
      <c r="H568" s="59"/>
      <c r="I568" s="59"/>
      <c r="J568" s="59"/>
      <c r="K568" s="59"/>
      <c r="L568" s="59"/>
      <c r="M568" s="59"/>
      <c r="N568" s="21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10"/>
      <c r="AA568" s="74"/>
      <c r="AB568" s="59"/>
      <c r="AC568" s="9"/>
    </row>
    <row r="569">
      <c r="A569" s="9"/>
      <c r="B569" s="19"/>
      <c r="C569" s="9"/>
      <c r="D569" s="9"/>
      <c r="E569" s="59"/>
      <c r="F569" s="9"/>
      <c r="G569" s="9"/>
      <c r="H569" s="59"/>
      <c r="I569" s="59"/>
      <c r="J569" s="59"/>
      <c r="K569" s="59"/>
      <c r="L569" s="59"/>
      <c r="M569" s="59"/>
      <c r="N569" s="21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10"/>
      <c r="AA569" s="74"/>
      <c r="AB569" s="59"/>
      <c r="AC569" s="9"/>
    </row>
    <row r="570">
      <c r="A570" s="9"/>
      <c r="B570" s="19"/>
      <c r="C570" s="9"/>
      <c r="D570" s="9"/>
      <c r="E570" s="59"/>
      <c r="F570" s="9"/>
      <c r="G570" s="9"/>
      <c r="H570" s="59"/>
      <c r="I570" s="59"/>
      <c r="J570" s="59"/>
      <c r="K570" s="59"/>
      <c r="L570" s="59"/>
      <c r="M570" s="59"/>
      <c r="N570" s="21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10"/>
      <c r="AA570" s="74"/>
      <c r="AB570" s="59"/>
      <c r="AC570" s="9"/>
    </row>
    <row r="571">
      <c r="A571" s="9"/>
      <c r="B571" s="19"/>
      <c r="C571" s="9"/>
      <c r="D571" s="9"/>
      <c r="E571" s="59"/>
      <c r="F571" s="9"/>
      <c r="G571" s="9"/>
      <c r="H571" s="59"/>
      <c r="I571" s="59"/>
      <c r="J571" s="59"/>
      <c r="K571" s="59"/>
      <c r="L571" s="59"/>
      <c r="M571" s="59"/>
      <c r="N571" s="21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10"/>
      <c r="AA571" s="74"/>
      <c r="AB571" s="59"/>
      <c r="AC571" s="9"/>
    </row>
    <row r="572">
      <c r="A572" s="9"/>
      <c r="B572" s="19"/>
      <c r="C572" s="9"/>
      <c r="D572" s="9"/>
      <c r="E572" s="59"/>
      <c r="F572" s="9"/>
      <c r="G572" s="9"/>
      <c r="H572" s="59"/>
      <c r="I572" s="59"/>
      <c r="J572" s="59"/>
      <c r="K572" s="59"/>
      <c r="L572" s="59"/>
      <c r="M572" s="59"/>
      <c r="N572" s="21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10"/>
      <c r="AA572" s="74"/>
      <c r="AB572" s="59"/>
      <c r="AC572" s="9"/>
    </row>
    <row r="573">
      <c r="A573" s="9"/>
      <c r="B573" s="19"/>
      <c r="C573" s="9"/>
      <c r="D573" s="9"/>
      <c r="E573" s="59"/>
      <c r="F573" s="9"/>
      <c r="G573" s="9"/>
      <c r="H573" s="59"/>
      <c r="I573" s="59"/>
      <c r="J573" s="59"/>
      <c r="K573" s="59"/>
      <c r="L573" s="59"/>
      <c r="M573" s="59"/>
      <c r="N573" s="21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10"/>
      <c r="AA573" s="74"/>
      <c r="AB573" s="59"/>
      <c r="AC573" s="9"/>
    </row>
    <row r="574">
      <c r="A574" s="9"/>
      <c r="B574" s="19"/>
      <c r="C574" s="9"/>
      <c r="D574" s="9"/>
      <c r="E574" s="59"/>
      <c r="F574" s="9"/>
      <c r="G574" s="9"/>
      <c r="H574" s="59"/>
      <c r="I574" s="59"/>
      <c r="J574" s="59"/>
      <c r="K574" s="59"/>
      <c r="L574" s="59"/>
      <c r="M574" s="59"/>
      <c r="N574" s="21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10"/>
      <c r="AA574" s="74"/>
      <c r="AB574" s="59"/>
      <c r="AC574" s="9"/>
    </row>
    <row r="575">
      <c r="A575" s="9"/>
      <c r="B575" s="19"/>
      <c r="C575" s="9"/>
      <c r="D575" s="9"/>
      <c r="E575" s="59"/>
      <c r="F575" s="9"/>
      <c r="G575" s="9"/>
      <c r="H575" s="59"/>
      <c r="I575" s="59"/>
      <c r="J575" s="59"/>
      <c r="K575" s="59"/>
      <c r="L575" s="59"/>
      <c r="M575" s="59"/>
      <c r="N575" s="21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10"/>
      <c r="AA575" s="74"/>
      <c r="AB575" s="59"/>
      <c r="AC575" s="9"/>
    </row>
    <row r="576">
      <c r="A576" s="9"/>
      <c r="B576" s="19"/>
      <c r="C576" s="9"/>
      <c r="D576" s="9"/>
      <c r="E576" s="59"/>
      <c r="F576" s="9"/>
      <c r="G576" s="9"/>
      <c r="H576" s="59"/>
      <c r="I576" s="59"/>
      <c r="J576" s="59"/>
      <c r="K576" s="59"/>
      <c r="L576" s="59"/>
      <c r="M576" s="59"/>
      <c r="N576" s="21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10"/>
      <c r="AA576" s="74"/>
      <c r="AB576" s="59"/>
      <c r="AC576" s="9"/>
    </row>
    <row r="577">
      <c r="A577" s="9"/>
      <c r="B577" s="19"/>
      <c r="C577" s="9"/>
      <c r="D577" s="9"/>
      <c r="E577" s="59"/>
      <c r="F577" s="9"/>
      <c r="G577" s="9"/>
      <c r="H577" s="59"/>
      <c r="I577" s="59"/>
      <c r="J577" s="59"/>
      <c r="K577" s="59"/>
      <c r="L577" s="59"/>
      <c r="M577" s="59"/>
      <c r="N577" s="21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10"/>
      <c r="AA577" s="74"/>
      <c r="AB577" s="59"/>
      <c r="AC577" s="9"/>
    </row>
    <row r="578">
      <c r="A578" s="9"/>
      <c r="B578" s="19"/>
      <c r="C578" s="9"/>
      <c r="D578" s="9"/>
      <c r="E578" s="59"/>
      <c r="F578" s="9"/>
      <c r="G578" s="9"/>
      <c r="H578" s="59"/>
      <c r="I578" s="59"/>
      <c r="J578" s="59"/>
      <c r="K578" s="59"/>
      <c r="L578" s="59"/>
      <c r="M578" s="59"/>
      <c r="N578" s="21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10"/>
      <c r="AA578" s="74"/>
      <c r="AB578" s="59"/>
      <c r="AC578" s="9"/>
    </row>
    <row r="579">
      <c r="A579" s="9"/>
      <c r="B579" s="19"/>
      <c r="C579" s="9"/>
      <c r="D579" s="9"/>
      <c r="E579" s="59"/>
      <c r="F579" s="9"/>
      <c r="G579" s="9"/>
      <c r="H579" s="59"/>
      <c r="I579" s="59"/>
      <c r="J579" s="59"/>
      <c r="K579" s="59"/>
      <c r="L579" s="59"/>
      <c r="M579" s="59"/>
      <c r="N579" s="21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10"/>
      <c r="AA579" s="74"/>
      <c r="AB579" s="59"/>
      <c r="AC579" s="9"/>
    </row>
    <row r="580">
      <c r="A580" s="9"/>
      <c r="B580" s="19"/>
      <c r="C580" s="9"/>
      <c r="D580" s="9"/>
      <c r="E580" s="59"/>
      <c r="F580" s="9"/>
      <c r="G580" s="9"/>
      <c r="H580" s="59"/>
      <c r="I580" s="59"/>
      <c r="J580" s="59"/>
      <c r="K580" s="59"/>
      <c r="L580" s="59"/>
      <c r="M580" s="59"/>
      <c r="N580" s="21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10"/>
      <c r="AA580" s="74"/>
      <c r="AB580" s="59"/>
      <c r="AC580" s="9"/>
    </row>
    <row r="581">
      <c r="A581" s="9"/>
      <c r="B581" s="19"/>
      <c r="C581" s="9"/>
      <c r="D581" s="9"/>
      <c r="E581" s="59"/>
      <c r="F581" s="9"/>
      <c r="G581" s="9"/>
      <c r="H581" s="59"/>
      <c r="I581" s="59"/>
      <c r="J581" s="59"/>
      <c r="K581" s="59"/>
      <c r="L581" s="59"/>
      <c r="M581" s="59"/>
      <c r="N581" s="21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10"/>
      <c r="AA581" s="74"/>
      <c r="AB581" s="59"/>
      <c r="AC581" s="9"/>
    </row>
    <row r="582">
      <c r="A582" s="9"/>
      <c r="B582" s="19"/>
      <c r="C582" s="9"/>
      <c r="D582" s="9"/>
      <c r="E582" s="59"/>
      <c r="F582" s="9"/>
      <c r="G582" s="9"/>
      <c r="H582" s="59"/>
      <c r="I582" s="59"/>
      <c r="J582" s="59"/>
      <c r="K582" s="59"/>
      <c r="L582" s="59"/>
      <c r="M582" s="59"/>
      <c r="N582" s="21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10"/>
      <c r="AA582" s="74"/>
      <c r="AB582" s="59"/>
      <c r="AC582" s="9"/>
    </row>
    <row r="583">
      <c r="A583" s="9"/>
      <c r="B583" s="19"/>
      <c r="C583" s="9"/>
      <c r="D583" s="9"/>
      <c r="E583" s="59"/>
      <c r="F583" s="9"/>
      <c r="G583" s="9"/>
      <c r="H583" s="59"/>
      <c r="I583" s="59"/>
      <c r="J583" s="59"/>
      <c r="K583" s="59"/>
      <c r="L583" s="59"/>
      <c r="M583" s="59"/>
      <c r="N583" s="21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10"/>
      <c r="AA583" s="74"/>
      <c r="AB583" s="59"/>
      <c r="AC583" s="9"/>
    </row>
    <row r="584">
      <c r="A584" s="9"/>
      <c r="B584" s="19"/>
      <c r="C584" s="9"/>
      <c r="D584" s="9"/>
      <c r="E584" s="59"/>
      <c r="F584" s="9"/>
      <c r="G584" s="9"/>
      <c r="H584" s="59"/>
      <c r="I584" s="59"/>
      <c r="J584" s="59"/>
      <c r="K584" s="59"/>
      <c r="L584" s="59"/>
      <c r="M584" s="59"/>
      <c r="N584" s="21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10"/>
      <c r="AA584" s="74"/>
      <c r="AB584" s="59"/>
      <c r="AC584" s="9"/>
    </row>
    <row r="585">
      <c r="A585" s="9"/>
      <c r="B585" s="19"/>
      <c r="C585" s="9"/>
      <c r="D585" s="9"/>
      <c r="E585" s="59"/>
      <c r="F585" s="9"/>
      <c r="G585" s="9"/>
      <c r="H585" s="59"/>
      <c r="I585" s="59"/>
      <c r="J585" s="59"/>
      <c r="K585" s="59"/>
      <c r="L585" s="59"/>
      <c r="M585" s="59"/>
      <c r="N585" s="21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10"/>
      <c r="AA585" s="74"/>
      <c r="AB585" s="59"/>
      <c r="AC585" s="9"/>
    </row>
    <row r="586">
      <c r="A586" s="9"/>
      <c r="B586" s="19"/>
      <c r="C586" s="9"/>
      <c r="D586" s="9"/>
      <c r="E586" s="59"/>
      <c r="F586" s="9"/>
      <c r="G586" s="9"/>
      <c r="H586" s="59"/>
      <c r="I586" s="59"/>
      <c r="J586" s="59"/>
      <c r="K586" s="59"/>
      <c r="L586" s="59"/>
      <c r="M586" s="59"/>
      <c r="N586" s="21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10"/>
      <c r="AA586" s="74"/>
      <c r="AB586" s="59"/>
      <c r="AC586" s="9"/>
    </row>
    <row r="587">
      <c r="A587" s="9"/>
      <c r="B587" s="19"/>
      <c r="C587" s="9"/>
      <c r="D587" s="9"/>
      <c r="E587" s="59"/>
      <c r="F587" s="9"/>
      <c r="G587" s="9"/>
      <c r="H587" s="59"/>
      <c r="I587" s="59"/>
      <c r="J587" s="59"/>
      <c r="K587" s="59"/>
      <c r="L587" s="59"/>
      <c r="M587" s="59"/>
      <c r="N587" s="21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10"/>
      <c r="AA587" s="74"/>
      <c r="AB587" s="59"/>
      <c r="AC587" s="9"/>
    </row>
    <row r="588">
      <c r="A588" s="9"/>
      <c r="B588" s="19"/>
      <c r="C588" s="9"/>
      <c r="D588" s="9"/>
      <c r="E588" s="59"/>
      <c r="F588" s="9"/>
      <c r="G588" s="9"/>
      <c r="H588" s="59"/>
      <c r="I588" s="59"/>
      <c r="J588" s="59"/>
      <c r="K588" s="59"/>
      <c r="L588" s="59"/>
      <c r="M588" s="59"/>
      <c r="N588" s="21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10"/>
      <c r="AA588" s="74"/>
      <c r="AB588" s="59"/>
      <c r="AC588" s="9"/>
    </row>
    <row r="589">
      <c r="A589" s="9"/>
      <c r="B589" s="19"/>
      <c r="C589" s="9"/>
      <c r="D589" s="9"/>
      <c r="E589" s="59"/>
      <c r="F589" s="9"/>
      <c r="G589" s="9"/>
      <c r="H589" s="59"/>
      <c r="I589" s="59"/>
      <c r="J589" s="59"/>
      <c r="K589" s="59"/>
      <c r="L589" s="59"/>
      <c r="M589" s="59"/>
      <c r="N589" s="21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10"/>
      <c r="AA589" s="74"/>
      <c r="AB589" s="59"/>
      <c r="AC589" s="9"/>
    </row>
    <row r="590">
      <c r="A590" s="9"/>
      <c r="B590" s="19"/>
      <c r="C590" s="9"/>
      <c r="D590" s="9"/>
      <c r="E590" s="59"/>
      <c r="F590" s="9"/>
      <c r="G590" s="9"/>
      <c r="H590" s="59"/>
      <c r="I590" s="59"/>
      <c r="J590" s="59"/>
      <c r="K590" s="59"/>
      <c r="L590" s="59"/>
      <c r="M590" s="59"/>
      <c r="N590" s="21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10"/>
      <c r="AA590" s="74"/>
      <c r="AB590" s="59"/>
      <c r="AC590" s="9"/>
    </row>
    <row r="591">
      <c r="A591" s="9"/>
      <c r="B591" s="19"/>
      <c r="C591" s="9"/>
      <c r="D591" s="9"/>
      <c r="E591" s="59"/>
      <c r="F591" s="9"/>
      <c r="G591" s="9"/>
      <c r="H591" s="59"/>
      <c r="I591" s="59"/>
      <c r="J591" s="59"/>
      <c r="K591" s="59"/>
      <c r="L591" s="59"/>
      <c r="M591" s="59"/>
      <c r="N591" s="21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10"/>
      <c r="AA591" s="74"/>
      <c r="AB591" s="59"/>
      <c r="AC591" s="9"/>
    </row>
    <row r="592">
      <c r="A592" s="9"/>
      <c r="B592" s="19"/>
      <c r="C592" s="9"/>
      <c r="D592" s="9"/>
      <c r="E592" s="59"/>
      <c r="F592" s="9"/>
      <c r="G592" s="9"/>
      <c r="H592" s="59"/>
      <c r="I592" s="59"/>
      <c r="J592" s="59"/>
      <c r="K592" s="59"/>
      <c r="L592" s="59"/>
      <c r="M592" s="59"/>
      <c r="N592" s="21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10"/>
      <c r="AA592" s="74"/>
      <c r="AB592" s="59"/>
      <c r="AC592" s="9"/>
    </row>
    <row r="593">
      <c r="A593" s="9"/>
      <c r="B593" s="19"/>
      <c r="C593" s="9"/>
      <c r="D593" s="9"/>
      <c r="E593" s="59"/>
      <c r="F593" s="9"/>
      <c r="G593" s="9"/>
      <c r="H593" s="59"/>
      <c r="I593" s="59"/>
      <c r="J593" s="59"/>
      <c r="K593" s="59"/>
      <c r="L593" s="59"/>
      <c r="M593" s="59"/>
      <c r="N593" s="21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10"/>
      <c r="AA593" s="74"/>
      <c r="AB593" s="59"/>
      <c r="AC593" s="9"/>
    </row>
    <row r="594">
      <c r="A594" s="9"/>
      <c r="B594" s="19"/>
      <c r="C594" s="9"/>
      <c r="D594" s="9"/>
      <c r="E594" s="59"/>
      <c r="F594" s="9"/>
      <c r="G594" s="9"/>
      <c r="H594" s="59"/>
      <c r="I594" s="59"/>
      <c r="J594" s="59"/>
      <c r="K594" s="59"/>
      <c r="L594" s="59"/>
      <c r="M594" s="59"/>
      <c r="N594" s="21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10"/>
      <c r="AA594" s="74"/>
      <c r="AB594" s="59"/>
      <c r="AC594" s="9"/>
    </row>
    <row r="595">
      <c r="A595" s="9"/>
      <c r="B595" s="19"/>
      <c r="C595" s="9"/>
      <c r="D595" s="9"/>
      <c r="E595" s="59"/>
      <c r="F595" s="9"/>
      <c r="G595" s="9"/>
      <c r="H595" s="59"/>
      <c r="I595" s="59"/>
      <c r="J595" s="59"/>
      <c r="K595" s="59"/>
      <c r="L595" s="59"/>
      <c r="M595" s="59"/>
      <c r="N595" s="21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10"/>
      <c r="AA595" s="74"/>
      <c r="AB595" s="59"/>
      <c r="AC595" s="9"/>
    </row>
    <row r="596">
      <c r="A596" s="9"/>
      <c r="B596" s="19"/>
      <c r="C596" s="9"/>
      <c r="D596" s="9"/>
      <c r="E596" s="59"/>
      <c r="F596" s="9"/>
      <c r="G596" s="9"/>
      <c r="H596" s="59"/>
      <c r="I596" s="59"/>
      <c r="J596" s="59"/>
      <c r="K596" s="59"/>
      <c r="L596" s="59"/>
      <c r="M596" s="59"/>
      <c r="N596" s="21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10"/>
      <c r="AA596" s="74"/>
      <c r="AB596" s="59"/>
      <c r="AC596" s="9"/>
    </row>
    <row r="597">
      <c r="A597" s="9"/>
      <c r="B597" s="19"/>
      <c r="C597" s="9"/>
      <c r="D597" s="9"/>
      <c r="E597" s="59"/>
      <c r="F597" s="9"/>
      <c r="G597" s="9"/>
      <c r="H597" s="59"/>
      <c r="I597" s="59"/>
      <c r="J597" s="59"/>
      <c r="K597" s="59"/>
      <c r="L597" s="59"/>
      <c r="M597" s="59"/>
      <c r="N597" s="21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10"/>
      <c r="AA597" s="74"/>
      <c r="AB597" s="59"/>
      <c r="AC597" s="9"/>
    </row>
    <row r="598">
      <c r="A598" s="9"/>
      <c r="B598" s="19"/>
      <c r="C598" s="9"/>
      <c r="D598" s="9"/>
      <c r="E598" s="59"/>
      <c r="F598" s="9"/>
      <c r="G598" s="9"/>
      <c r="H598" s="59"/>
      <c r="I598" s="59"/>
      <c r="J598" s="59"/>
      <c r="K598" s="59"/>
      <c r="L598" s="59"/>
      <c r="M598" s="59"/>
      <c r="N598" s="21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10"/>
      <c r="AA598" s="74"/>
      <c r="AB598" s="59"/>
      <c r="AC598" s="9"/>
    </row>
    <row r="599">
      <c r="A599" s="9"/>
      <c r="B599" s="19"/>
      <c r="C599" s="9"/>
      <c r="D599" s="9"/>
      <c r="E599" s="59"/>
      <c r="F599" s="9"/>
      <c r="G599" s="9"/>
      <c r="H599" s="59"/>
      <c r="I599" s="59"/>
      <c r="J599" s="59"/>
      <c r="K599" s="59"/>
      <c r="L599" s="59"/>
      <c r="M599" s="59"/>
      <c r="N599" s="21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10"/>
      <c r="AA599" s="74"/>
      <c r="AB599" s="59"/>
      <c r="AC599" s="9"/>
    </row>
    <row r="600">
      <c r="A600" s="9"/>
      <c r="B600" s="19"/>
      <c r="C600" s="9"/>
      <c r="D600" s="9"/>
      <c r="E600" s="59"/>
      <c r="F600" s="9"/>
      <c r="G600" s="9"/>
      <c r="H600" s="59"/>
      <c r="I600" s="59"/>
      <c r="J600" s="59"/>
      <c r="K600" s="59"/>
      <c r="L600" s="59"/>
      <c r="M600" s="59"/>
      <c r="N600" s="21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10"/>
      <c r="AA600" s="74"/>
      <c r="AB600" s="59"/>
      <c r="AC600" s="9"/>
    </row>
    <row r="601">
      <c r="A601" s="9"/>
      <c r="B601" s="19"/>
      <c r="C601" s="9"/>
      <c r="D601" s="9"/>
      <c r="E601" s="59"/>
      <c r="F601" s="9"/>
      <c r="G601" s="9"/>
      <c r="H601" s="59"/>
      <c r="I601" s="59"/>
      <c r="J601" s="59"/>
      <c r="K601" s="59"/>
      <c r="L601" s="59"/>
      <c r="M601" s="59"/>
      <c r="N601" s="21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10"/>
      <c r="AA601" s="74"/>
      <c r="AB601" s="59"/>
      <c r="AC601" s="9"/>
    </row>
    <row r="602">
      <c r="A602" s="9"/>
      <c r="B602" s="19"/>
      <c r="C602" s="9"/>
      <c r="D602" s="9"/>
      <c r="E602" s="59"/>
      <c r="F602" s="9"/>
      <c r="G602" s="9"/>
      <c r="H602" s="59"/>
      <c r="I602" s="59"/>
      <c r="J602" s="59"/>
      <c r="K602" s="59"/>
      <c r="L602" s="59"/>
      <c r="M602" s="59"/>
      <c r="N602" s="21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10"/>
      <c r="AA602" s="74"/>
      <c r="AB602" s="59"/>
      <c r="AC602" s="9"/>
    </row>
    <row r="603">
      <c r="A603" s="9"/>
      <c r="B603" s="19"/>
      <c r="C603" s="9"/>
      <c r="D603" s="9"/>
      <c r="E603" s="59"/>
      <c r="F603" s="9"/>
      <c r="G603" s="9"/>
      <c r="H603" s="59"/>
      <c r="I603" s="59"/>
      <c r="J603" s="59"/>
      <c r="K603" s="59"/>
      <c r="L603" s="59"/>
      <c r="M603" s="59"/>
      <c r="N603" s="21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10"/>
      <c r="AA603" s="74"/>
      <c r="AB603" s="59"/>
      <c r="AC603" s="9"/>
    </row>
    <row r="604">
      <c r="A604" s="9"/>
      <c r="B604" s="19"/>
      <c r="C604" s="9"/>
      <c r="D604" s="9"/>
      <c r="E604" s="59"/>
      <c r="F604" s="9"/>
      <c r="G604" s="9"/>
      <c r="H604" s="59"/>
      <c r="I604" s="59"/>
      <c r="J604" s="59"/>
      <c r="K604" s="59"/>
      <c r="L604" s="59"/>
      <c r="M604" s="59"/>
      <c r="N604" s="21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10"/>
      <c r="AA604" s="74"/>
      <c r="AB604" s="59"/>
      <c r="AC604" s="9"/>
    </row>
    <row r="605">
      <c r="A605" s="9"/>
      <c r="B605" s="19"/>
      <c r="C605" s="9"/>
      <c r="D605" s="9"/>
      <c r="E605" s="59"/>
      <c r="F605" s="9"/>
      <c r="G605" s="9"/>
      <c r="H605" s="59"/>
      <c r="I605" s="59"/>
      <c r="J605" s="59"/>
      <c r="K605" s="59"/>
      <c r="L605" s="59"/>
      <c r="M605" s="59"/>
      <c r="N605" s="21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10"/>
      <c r="AA605" s="74"/>
      <c r="AB605" s="59"/>
      <c r="AC605" s="9"/>
    </row>
    <row r="606">
      <c r="A606" s="9"/>
      <c r="B606" s="19"/>
      <c r="C606" s="9"/>
      <c r="D606" s="9"/>
      <c r="E606" s="59"/>
      <c r="F606" s="9"/>
      <c r="G606" s="9"/>
      <c r="H606" s="59"/>
      <c r="I606" s="59"/>
      <c r="J606" s="59"/>
      <c r="K606" s="59"/>
      <c r="L606" s="59"/>
      <c r="M606" s="59"/>
      <c r="N606" s="21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10"/>
      <c r="AA606" s="74"/>
      <c r="AB606" s="59"/>
      <c r="AC606" s="9"/>
    </row>
    <row r="607">
      <c r="A607" s="9"/>
      <c r="B607" s="19"/>
      <c r="C607" s="9"/>
      <c r="D607" s="9"/>
      <c r="E607" s="59"/>
      <c r="F607" s="9"/>
      <c r="G607" s="9"/>
      <c r="H607" s="59"/>
      <c r="I607" s="59"/>
      <c r="J607" s="59"/>
      <c r="K607" s="59"/>
      <c r="L607" s="59"/>
      <c r="M607" s="59"/>
      <c r="N607" s="21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10"/>
      <c r="AA607" s="74"/>
      <c r="AB607" s="59"/>
      <c r="AC607" s="9"/>
    </row>
    <row r="608">
      <c r="A608" s="9"/>
      <c r="B608" s="19"/>
      <c r="C608" s="9"/>
      <c r="D608" s="9"/>
      <c r="E608" s="59"/>
      <c r="F608" s="9"/>
      <c r="G608" s="9"/>
      <c r="H608" s="59"/>
      <c r="I608" s="59"/>
      <c r="J608" s="59"/>
      <c r="K608" s="59"/>
      <c r="L608" s="59"/>
      <c r="M608" s="59"/>
      <c r="N608" s="21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10"/>
      <c r="AA608" s="74"/>
      <c r="AB608" s="59"/>
      <c r="AC608" s="9"/>
    </row>
    <row r="609">
      <c r="A609" s="9"/>
      <c r="B609" s="19"/>
      <c r="C609" s="9"/>
      <c r="D609" s="9"/>
      <c r="E609" s="59"/>
      <c r="F609" s="9"/>
      <c r="G609" s="9"/>
      <c r="H609" s="59"/>
      <c r="I609" s="59"/>
      <c r="J609" s="59"/>
      <c r="K609" s="59"/>
      <c r="L609" s="59"/>
      <c r="M609" s="59"/>
      <c r="N609" s="21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10"/>
      <c r="AA609" s="74"/>
      <c r="AB609" s="59"/>
      <c r="AC609" s="9"/>
    </row>
    <row r="610">
      <c r="A610" s="9"/>
      <c r="B610" s="19"/>
      <c r="C610" s="9"/>
      <c r="D610" s="9"/>
      <c r="E610" s="59"/>
      <c r="F610" s="9"/>
      <c r="G610" s="9"/>
      <c r="H610" s="59"/>
      <c r="I610" s="59"/>
      <c r="J610" s="59"/>
      <c r="K610" s="59"/>
      <c r="L610" s="59"/>
      <c r="M610" s="59"/>
      <c r="N610" s="21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10"/>
      <c r="AA610" s="74"/>
      <c r="AB610" s="59"/>
      <c r="AC610" s="9"/>
    </row>
    <row r="611">
      <c r="A611" s="9"/>
      <c r="B611" s="19"/>
      <c r="C611" s="9"/>
      <c r="D611" s="9"/>
      <c r="E611" s="59"/>
      <c r="F611" s="9"/>
      <c r="G611" s="9"/>
      <c r="H611" s="59"/>
      <c r="I611" s="59"/>
      <c r="J611" s="59"/>
      <c r="K611" s="59"/>
      <c r="L611" s="59"/>
      <c r="M611" s="59"/>
      <c r="N611" s="21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10"/>
      <c r="AA611" s="74"/>
      <c r="AB611" s="59"/>
      <c r="AC611" s="9"/>
    </row>
    <row r="612">
      <c r="A612" s="9"/>
      <c r="B612" s="19"/>
      <c r="C612" s="9"/>
      <c r="D612" s="9"/>
      <c r="E612" s="59"/>
      <c r="F612" s="9"/>
      <c r="G612" s="9"/>
      <c r="H612" s="59"/>
      <c r="I612" s="59"/>
      <c r="J612" s="59"/>
      <c r="K612" s="59"/>
      <c r="L612" s="59"/>
      <c r="M612" s="59"/>
      <c r="N612" s="21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10"/>
      <c r="AA612" s="74"/>
      <c r="AB612" s="59"/>
      <c r="AC612" s="9"/>
    </row>
    <row r="613">
      <c r="A613" s="9"/>
      <c r="B613" s="19"/>
      <c r="C613" s="9"/>
      <c r="D613" s="9"/>
      <c r="E613" s="59"/>
      <c r="F613" s="9"/>
      <c r="G613" s="9"/>
      <c r="H613" s="59"/>
      <c r="I613" s="59"/>
      <c r="J613" s="59"/>
      <c r="K613" s="59"/>
      <c r="L613" s="59"/>
      <c r="M613" s="59"/>
      <c r="N613" s="21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10"/>
      <c r="AA613" s="74"/>
      <c r="AB613" s="59"/>
      <c r="AC613" s="9"/>
    </row>
    <row r="614">
      <c r="A614" s="9"/>
      <c r="B614" s="19"/>
      <c r="C614" s="9"/>
      <c r="D614" s="9"/>
      <c r="E614" s="59"/>
      <c r="F614" s="9"/>
      <c r="G614" s="9"/>
      <c r="H614" s="59"/>
      <c r="I614" s="59"/>
      <c r="J614" s="59"/>
      <c r="K614" s="59"/>
      <c r="L614" s="59"/>
      <c r="M614" s="59"/>
      <c r="N614" s="21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10"/>
      <c r="AA614" s="74"/>
      <c r="AB614" s="59"/>
      <c r="AC614" s="9"/>
    </row>
    <row r="615">
      <c r="A615" s="9"/>
      <c r="B615" s="19"/>
      <c r="C615" s="9"/>
      <c r="D615" s="9"/>
      <c r="E615" s="59"/>
      <c r="F615" s="9"/>
      <c r="G615" s="9"/>
      <c r="H615" s="59"/>
      <c r="I615" s="59"/>
      <c r="J615" s="59"/>
      <c r="K615" s="59"/>
      <c r="L615" s="59"/>
      <c r="M615" s="59"/>
      <c r="N615" s="21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10"/>
      <c r="AA615" s="74"/>
      <c r="AB615" s="59"/>
      <c r="AC615" s="9"/>
    </row>
    <row r="616">
      <c r="A616" s="9"/>
      <c r="B616" s="19"/>
      <c r="C616" s="9"/>
      <c r="D616" s="9"/>
      <c r="E616" s="59"/>
      <c r="F616" s="9"/>
      <c r="G616" s="9"/>
      <c r="H616" s="59"/>
      <c r="I616" s="59"/>
      <c r="J616" s="59"/>
      <c r="K616" s="59"/>
      <c r="L616" s="59"/>
      <c r="M616" s="59"/>
      <c r="N616" s="21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10"/>
      <c r="AA616" s="74"/>
      <c r="AB616" s="59"/>
      <c r="AC616" s="9"/>
    </row>
    <row r="617">
      <c r="A617" s="9"/>
      <c r="B617" s="19"/>
      <c r="C617" s="9"/>
      <c r="D617" s="9"/>
      <c r="E617" s="59"/>
      <c r="F617" s="9"/>
      <c r="G617" s="9"/>
      <c r="H617" s="59"/>
      <c r="I617" s="59"/>
      <c r="J617" s="59"/>
      <c r="K617" s="59"/>
      <c r="L617" s="59"/>
      <c r="M617" s="59"/>
      <c r="N617" s="21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10"/>
      <c r="AA617" s="74"/>
      <c r="AB617" s="59"/>
      <c r="AC617" s="9"/>
    </row>
    <row r="618">
      <c r="A618" s="9"/>
      <c r="B618" s="19"/>
      <c r="C618" s="9"/>
      <c r="D618" s="9"/>
      <c r="E618" s="59"/>
      <c r="F618" s="9"/>
      <c r="G618" s="9"/>
      <c r="H618" s="59"/>
      <c r="I618" s="59"/>
      <c r="J618" s="59"/>
      <c r="K618" s="59"/>
      <c r="L618" s="59"/>
      <c r="M618" s="59"/>
      <c r="N618" s="21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10"/>
      <c r="AA618" s="74"/>
      <c r="AB618" s="59"/>
      <c r="AC618" s="9"/>
    </row>
    <row r="619">
      <c r="A619" s="9"/>
      <c r="B619" s="19"/>
      <c r="C619" s="9"/>
      <c r="D619" s="9"/>
      <c r="E619" s="59"/>
      <c r="F619" s="9"/>
      <c r="G619" s="9"/>
      <c r="H619" s="59"/>
      <c r="I619" s="59"/>
      <c r="J619" s="59"/>
      <c r="K619" s="59"/>
      <c r="L619" s="59"/>
      <c r="M619" s="59"/>
      <c r="N619" s="21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10"/>
      <c r="AA619" s="74"/>
      <c r="AB619" s="59"/>
      <c r="AC619" s="9"/>
    </row>
    <row r="620">
      <c r="A620" s="9"/>
      <c r="B620" s="19"/>
      <c r="C620" s="9"/>
      <c r="D620" s="9"/>
      <c r="E620" s="59"/>
      <c r="F620" s="9"/>
      <c r="G620" s="9"/>
      <c r="H620" s="59"/>
      <c r="I620" s="59"/>
      <c r="J620" s="59"/>
      <c r="K620" s="59"/>
      <c r="L620" s="59"/>
      <c r="M620" s="59"/>
      <c r="N620" s="21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10"/>
      <c r="AA620" s="74"/>
      <c r="AB620" s="59"/>
      <c r="AC620" s="9"/>
    </row>
    <row r="621">
      <c r="A621" s="9"/>
      <c r="B621" s="19"/>
      <c r="C621" s="9"/>
      <c r="D621" s="9"/>
      <c r="E621" s="59"/>
      <c r="F621" s="9"/>
      <c r="G621" s="9"/>
      <c r="H621" s="59"/>
      <c r="I621" s="59"/>
      <c r="J621" s="59"/>
      <c r="K621" s="59"/>
      <c r="L621" s="59"/>
      <c r="M621" s="59"/>
      <c r="N621" s="21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10"/>
      <c r="AA621" s="74"/>
      <c r="AB621" s="59"/>
      <c r="AC621" s="9"/>
    </row>
    <row r="622">
      <c r="A622" s="9"/>
      <c r="B622" s="19"/>
      <c r="C622" s="9"/>
      <c r="D622" s="9"/>
      <c r="E622" s="59"/>
      <c r="F622" s="9"/>
      <c r="G622" s="9"/>
      <c r="H622" s="59"/>
      <c r="I622" s="59"/>
      <c r="J622" s="59"/>
      <c r="K622" s="59"/>
      <c r="L622" s="59"/>
      <c r="M622" s="59"/>
      <c r="N622" s="21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10"/>
      <c r="AA622" s="74"/>
      <c r="AB622" s="59"/>
      <c r="AC622" s="9"/>
    </row>
    <row r="623">
      <c r="A623" s="9"/>
      <c r="B623" s="19"/>
      <c r="C623" s="9"/>
      <c r="D623" s="9"/>
      <c r="E623" s="59"/>
      <c r="F623" s="9"/>
      <c r="G623" s="9"/>
      <c r="H623" s="59"/>
      <c r="I623" s="59"/>
      <c r="J623" s="59"/>
      <c r="K623" s="59"/>
      <c r="L623" s="59"/>
      <c r="M623" s="59"/>
      <c r="N623" s="21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10"/>
      <c r="AA623" s="74"/>
      <c r="AB623" s="59"/>
      <c r="AC623" s="9"/>
    </row>
    <row r="624">
      <c r="A624" s="9"/>
      <c r="B624" s="19"/>
      <c r="C624" s="9"/>
      <c r="D624" s="9"/>
      <c r="E624" s="59"/>
      <c r="F624" s="9"/>
      <c r="G624" s="9"/>
      <c r="H624" s="59"/>
      <c r="I624" s="59"/>
      <c r="J624" s="59"/>
      <c r="K624" s="59"/>
      <c r="L624" s="59"/>
      <c r="M624" s="59"/>
      <c r="N624" s="21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10"/>
      <c r="AA624" s="74"/>
      <c r="AB624" s="59"/>
      <c r="AC624" s="9"/>
    </row>
    <row r="625">
      <c r="A625" s="9"/>
      <c r="B625" s="19"/>
      <c r="C625" s="9"/>
      <c r="D625" s="9"/>
      <c r="E625" s="59"/>
      <c r="F625" s="9"/>
      <c r="G625" s="9"/>
      <c r="H625" s="59"/>
      <c r="I625" s="59"/>
      <c r="J625" s="59"/>
      <c r="K625" s="59"/>
      <c r="L625" s="59"/>
      <c r="M625" s="59"/>
      <c r="N625" s="21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10"/>
      <c r="AA625" s="74"/>
      <c r="AB625" s="59"/>
      <c r="AC625" s="9"/>
    </row>
    <row r="626">
      <c r="A626" s="9"/>
      <c r="B626" s="19"/>
      <c r="C626" s="9"/>
      <c r="D626" s="9"/>
      <c r="E626" s="59"/>
      <c r="F626" s="9"/>
      <c r="G626" s="9"/>
      <c r="H626" s="59"/>
      <c r="I626" s="59"/>
      <c r="J626" s="59"/>
      <c r="K626" s="59"/>
      <c r="L626" s="59"/>
      <c r="M626" s="59"/>
      <c r="N626" s="21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10"/>
      <c r="AA626" s="74"/>
      <c r="AB626" s="59"/>
      <c r="AC626" s="9"/>
    </row>
    <row r="627">
      <c r="A627" s="9"/>
      <c r="B627" s="19"/>
      <c r="C627" s="9"/>
      <c r="D627" s="9"/>
      <c r="E627" s="59"/>
      <c r="F627" s="9"/>
      <c r="G627" s="9"/>
      <c r="H627" s="59"/>
      <c r="I627" s="59"/>
      <c r="J627" s="59"/>
      <c r="K627" s="59"/>
      <c r="L627" s="59"/>
      <c r="M627" s="59"/>
      <c r="N627" s="21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10"/>
      <c r="AA627" s="74"/>
      <c r="AB627" s="59"/>
      <c r="AC627" s="9"/>
    </row>
    <row r="628">
      <c r="A628" s="9"/>
      <c r="B628" s="19"/>
      <c r="C628" s="9"/>
      <c r="D628" s="9"/>
      <c r="E628" s="59"/>
      <c r="F628" s="9"/>
      <c r="G628" s="9"/>
      <c r="H628" s="59"/>
      <c r="I628" s="59"/>
      <c r="J628" s="59"/>
      <c r="K628" s="59"/>
      <c r="L628" s="59"/>
      <c r="M628" s="59"/>
      <c r="N628" s="21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10"/>
      <c r="AA628" s="74"/>
      <c r="AB628" s="59"/>
      <c r="AC628" s="9"/>
    </row>
    <row r="629">
      <c r="A629" s="9"/>
      <c r="B629" s="19"/>
      <c r="C629" s="9"/>
      <c r="D629" s="9"/>
      <c r="E629" s="59"/>
      <c r="F629" s="9"/>
      <c r="G629" s="9"/>
      <c r="H629" s="59"/>
      <c r="I629" s="59"/>
      <c r="J629" s="59"/>
      <c r="K629" s="59"/>
      <c r="L629" s="59"/>
      <c r="M629" s="59"/>
      <c r="N629" s="21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10"/>
      <c r="AA629" s="74"/>
      <c r="AB629" s="59"/>
      <c r="AC629" s="9"/>
    </row>
    <row r="630">
      <c r="A630" s="9"/>
      <c r="B630" s="19"/>
      <c r="C630" s="9"/>
      <c r="D630" s="9"/>
      <c r="E630" s="59"/>
      <c r="F630" s="9"/>
      <c r="G630" s="9"/>
      <c r="H630" s="59"/>
      <c r="I630" s="59"/>
      <c r="J630" s="59"/>
      <c r="K630" s="59"/>
      <c r="L630" s="59"/>
      <c r="M630" s="59"/>
      <c r="N630" s="21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10"/>
      <c r="AA630" s="74"/>
      <c r="AB630" s="59"/>
      <c r="AC630" s="9"/>
    </row>
    <row r="631">
      <c r="A631" s="9"/>
      <c r="B631" s="19"/>
      <c r="C631" s="9"/>
      <c r="D631" s="9"/>
      <c r="E631" s="59"/>
      <c r="F631" s="9"/>
      <c r="G631" s="9"/>
      <c r="H631" s="59"/>
      <c r="I631" s="59"/>
      <c r="J631" s="59"/>
      <c r="K631" s="59"/>
      <c r="L631" s="59"/>
      <c r="M631" s="59"/>
      <c r="N631" s="21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10"/>
      <c r="AA631" s="74"/>
      <c r="AB631" s="59"/>
      <c r="AC631" s="9"/>
    </row>
    <row r="632">
      <c r="A632" s="9"/>
      <c r="B632" s="19"/>
      <c r="C632" s="9"/>
      <c r="D632" s="9"/>
      <c r="E632" s="59"/>
      <c r="F632" s="9"/>
      <c r="G632" s="9"/>
      <c r="H632" s="59"/>
      <c r="I632" s="59"/>
      <c r="J632" s="59"/>
      <c r="K632" s="59"/>
      <c r="L632" s="59"/>
      <c r="M632" s="59"/>
      <c r="N632" s="21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10"/>
      <c r="AA632" s="74"/>
      <c r="AB632" s="59"/>
      <c r="AC632" s="9"/>
    </row>
    <row r="633">
      <c r="A633" s="9"/>
      <c r="B633" s="19"/>
      <c r="C633" s="9"/>
      <c r="D633" s="9"/>
      <c r="E633" s="59"/>
      <c r="F633" s="9"/>
      <c r="G633" s="9"/>
      <c r="H633" s="59"/>
      <c r="I633" s="59"/>
      <c r="J633" s="59"/>
      <c r="K633" s="59"/>
      <c r="L633" s="59"/>
      <c r="M633" s="59"/>
      <c r="N633" s="21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10"/>
      <c r="AA633" s="74"/>
      <c r="AB633" s="59"/>
      <c r="AC633" s="9"/>
    </row>
    <row r="634">
      <c r="A634" s="9"/>
      <c r="B634" s="19"/>
      <c r="C634" s="9"/>
      <c r="D634" s="9"/>
      <c r="E634" s="59"/>
      <c r="F634" s="9"/>
      <c r="G634" s="9"/>
      <c r="H634" s="59"/>
      <c r="I634" s="59"/>
      <c r="J634" s="59"/>
      <c r="K634" s="59"/>
      <c r="L634" s="59"/>
      <c r="M634" s="59"/>
      <c r="N634" s="21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10"/>
      <c r="AA634" s="74"/>
      <c r="AB634" s="59"/>
      <c r="AC634" s="9"/>
    </row>
    <row r="635">
      <c r="A635" s="9"/>
      <c r="B635" s="19"/>
      <c r="C635" s="9"/>
      <c r="D635" s="9"/>
      <c r="E635" s="59"/>
      <c r="F635" s="9"/>
      <c r="G635" s="9"/>
      <c r="H635" s="59"/>
      <c r="I635" s="59"/>
      <c r="J635" s="59"/>
      <c r="K635" s="59"/>
      <c r="L635" s="59"/>
      <c r="M635" s="59"/>
      <c r="N635" s="21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10"/>
      <c r="AA635" s="74"/>
      <c r="AB635" s="59"/>
      <c r="AC635" s="9"/>
    </row>
    <row r="636">
      <c r="A636" s="9"/>
      <c r="B636" s="19"/>
      <c r="C636" s="9"/>
      <c r="D636" s="9"/>
      <c r="E636" s="59"/>
      <c r="F636" s="9"/>
      <c r="G636" s="9"/>
      <c r="H636" s="59"/>
      <c r="I636" s="59"/>
      <c r="J636" s="59"/>
      <c r="K636" s="59"/>
      <c r="L636" s="59"/>
      <c r="M636" s="59"/>
      <c r="N636" s="21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10"/>
      <c r="AA636" s="74"/>
      <c r="AB636" s="59"/>
      <c r="AC636" s="9"/>
    </row>
    <row r="637">
      <c r="A637" s="9"/>
      <c r="B637" s="19"/>
      <c r="C637" s="9"/>
      <c r="D637" s="9"/>
      <c r="E637" s="59"/>
      <c r="F637" s="9"/>
      <c r="G637" s="9"/>
      <c r="H637" s="59"/>
      <c r="I637" s="59"/>
      <c r="J637" s="59"/>
      <c r="K637" s="59"/>
      <c r="L637" s="59"/>
      <c r="M637" s="59"/>
      <c r="N637" s="21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10"/>
      <c r="AA637" s="74"/>
      <c r="AB637" s="59"/>
      <c r="AC637" s="9"/>
    </row>
    <row r="638">
      <c r="A638" s="9"/>
      <c r="B638" s="19"/>
      <c r="C638" s="9"/>
      <c r="D638" s="9"/>
      <c r="E638" s="59"/>
      <c r="F638" s="9"/>
      <c r="G638" s="9"/>
      <c r="H638" s="59"/>
      <c r="I638" s="59"/>
      <c r="J638" s="59"/>
      <c r="K638" s="59"/>
      <c r="L638" s="59"/>
      <c r="M638" s="59"/>
      <c r="N638" s="21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10"/>
      <c r="AA638" s="74"/>
      <c r="AB638" s="59"/>
      <c r="AC638" s="9"/>
    </row>
    <row r="639">
      <c r="A639" s="9"/>
      <c r="B639" s="19"/>
      <c r="C639" s="9"/>
      <c r="D639" s="9"/>
      <c r="E639" s="59"/>
      <c r="F639" s="9"/>
      <c r="G639" s="9"/>
      <c r="H639" s="59"/>
      <c r="I639" s="59"/>
      <c r="J639" s="59"/>
      <c r="K639" s="59"/>
      <c r="L639" s="59"/>
      <c r="M639" s="59"/>
      <c r="N639" s="21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10"/>
      <c r="AA639" s="74"/>
      <c r="AB639" s="59"/>
      <c r="AC639" s="9"/>
    </row>
    <row r="640">
      <c r="A640" s="9"/>
      <c r="B640" s="19"/>
      <c r="C640" s="9"/>
      <c r="D640" s="9"/>
      <c r="E640" s="59"/>
      <c r="F640" s="9"/>
      <c r="G640" s="9"/>
      <c r="H640" s="59"/>
      <c r="I640" s="59"/>
      <c r="J640" s="59"/>
      <c r="K640" s="59"/>
      <c r="L640" s="59"/>
      <c r="M640" s="59"/>
      <c r="N640" s="21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10"/>
      <c r="AA640" s="74"/>
      <c r="AB640" s="59"/>
      <c r="AC640" s="9"/>
    </row>
    <row r="641">
      <c r="A641" s="9"/>
      <c r="B641" s="19"/>
      <c r="C641" s="9"/>
      <c r="D641" s="9"/>
      <c r="E641" s="59"/>
      <c r="F641" s="9"/>
      <c r="G641" s="9"/>
      <c r="H641" s="59"/>
      <c r="I641" s="59"/>
      <c r="J641" s="59"/>
      <c r="K641" s="59"/>
      <c r="L641" s="59"/>
      <c r="M641" s="59"/>
      <c r="N641" s="21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10"/>
      <c r="AA641" s="74"/>
      <c r="AB641" s="59"/>
      <c r="AC641" s="9"/>
    </row>
    <row r="642">
      <c r="A642" s="9"/>
      <c r="B642" s="19"/>
      <c r="C642" s="9"/>
      <c r="D642" s="9"/>
      <c r="E642" s="59"/>
      <c r="F642" s="9"/>
      <c r="G642" s="9"/>
      <c r="H642" s="59"/>
      <c r="I642" s="59"/>
      <c r="J642" s="59"/>
      <c r="K642" s="59"/>
      <c r="L642" s="59"/>
      <c r="M642" s="59"/>
      <c r="N642" s="21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10"/>
      <c r="AA642" s="74"/>
      <c r="AB642" s="59"/>
      <c r="AC642" s="9"/>
    </row>
    <row r="643">
      <c r="A643" s="9"/>
      <c r="B643" s="19"/>
      <c r="C643" s="9"/>
      <c r="D643" s="9"/>
      <c r="E643" s="59"/>
      <c r="F643" s="9"/>
      <c r="G643" s="9"/>
      <c r="H643" s="59"/>
      <c r="I643" s="59"/>
      <c r="J643" s="59"/>
      <c r="K643" s="59"/>
      <c r="L643" s="59"/>
      <c r="M643" s="59"/>
      <c r="N643" s="21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10"/>
      <c r="AA643" s="74"/>
      <c r="AB643" s="59"/>
      <c r="AC643" s="9"/>
    </row>
    <row r="644">
      <c r="A644" s="9"/>
      <c r="B644" s="19"/>
      <c r="C644" s="9"/>
      <c r="D644" s="9"/>
      <c r="E644" s="59"/>
      <c r="F644" s="9"/>
      <c r="G644" s="9"/>
      <c r="H644" s="59"/>
      <c r="I644" s="59"/>
      <c r="J644" s="59"/>
      <c r="K644" s="59"/>
      <c r="L644" s="59"/>
      <c r="M644" s="59"/>
      <c r="N644" s="21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10"/>
      <c r="AA644" s="74"/>
      <c r="AB644" s="59"/>
      <c r="AC644" s="9"/>
    </row>
    <row r="645">
      <c r="A645" s="9"/>
      <c r="B645" s="19"/>
      <c r="C645" s="9"/>
      <c r="D645" s="9"/>
      <c r="E645" s="59"/>
      <c r="F645" s="9"/>
      <c r="G645" s="9"/>
      <c r="H645" s="59"/>
      <c r="I645" s="59"/>
      <c r="J645" s="59"/>
      <c r="K645" s="59"/>
      <c r="L645" s="59"/>
      <c r="M645" s="59"/>
      <c r="N645" s="21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10"/>
      <c r="AA645" s="74"/>
      <c r="AB645" s="59"/>
      <c r="AC645" s="9"/>
    </row>
    <row r="646">
      <c r="A646" s="9"/>
      <c r="B646" s="19"/>
      <c r="C646" s="9"/>
      <c r="D646" s="9"/>
      <c r="E646" s="59"/>
      <c r="F646" s="9"/>
      <c r="G646" s="9"/>
      <c r="H646" s="59"/>
      <c r="I646" s="59"/>
      <c r="J646" s="59"/>
      <c r="K646" s="59"/>
      <c r="L646" s="59"/>
      <c r="M646" s="59"/>
      <c r="N646" s="21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10"/>
      <c r="AA646" s="74"/>
      <c r="AB646" s="59"/>
      <c r="AC646" s="9"/>
    </row>
    <row r="647">
      <c r="A647" s="9"/>
      <c r="B647" s="19"/>
      <c r="C647" s="9"/>
      <c r="D647" s="9"/>
      <c r="E647" s="59"/>
      <c r="F647" s="9"/>
      <c r="G647" s="9"/>
      <c r="H647" s="59"/>
      <c r="I647" s="59"/>
      <c r="J647" s="59"/>
      <c r="K647" s="59"/>
      <c r="L647" s="59"/>
      <c r="M647" s="59"/>
      <c r="N647" s="21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10"/>
      <c r="AA647" s="74"/>
      <c r="AB647" s="59"/>
      <c r="AC647" s="9"/>
    </row>
    <row r="648">
      <c r="A648" s="9"/>
      <c r="B648" s="19"/>
      <c r="C648" s="9"/>
      <c r="D648" s="9"/>
      <c r="E648" s="59"/>
      <c r="F648" s="9"/>
      <c r="G648" s="9"/>
      <c r="H648" s="59"/>
      <c r="I648" s="59"/>
      <c r="J648" s="59"/>
      <c r="K648" s="59"/>
      <c r="L648" s="59"/>
      <c r="M648" s="59"/>
      <c r="N648" s="21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10"/>
      <c r="AA648" s="74"/>
      <c r="AB648" s="59"/>
      <c r="AC648" s="9"/>
    </row>
    <row r="649">
      <c r="A649" s="9"/>
      <c r="B649" s="19"/>
      <c r="C649" s="9"/>
      <c r="D649" s="9"/>
      <c r="E649" s="59"/>
      <c r="F649" s="9"/>
      <c r="G649" s="9"/>
      <c r="H649" s="59"/>
      <c r="I649" s="59"/>
      <c r="J649" s="59"/>
      <c r="K649" s="59"/>
      <c r="L649" s="59"/>
      <c r="M649" s="59"/>
      <c r="N649" s="21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10"/>
      <c r="AA649" s="74"/>
      <c r="AB649" s="59"/>
      <c r="AC649" s="9"/>
    </row>
    <row r="650">
      <c r="A650" s="9"/>
      <c r="B650" s="19"/>
      <c r="C650" s="9"/>
      <c r="D650" s="9"/>
      <c r="E650" s="59"/>
      <c r="F650" s="9"/>
      <c r="G650" s="9"/>
      <c r="H650" s="59"/>
      <c r="I650" s="59"/>
      <c r="J650" s="59"/>
      <c r="K650" s="59"/>
      <c r="L650" s="59"/>
      <c r="M650" s="59"/>
      <c r="N650" s="21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10"/>
      <c r="AA650" s="74"/>
      <c r="AB650" s="59"/>
      <c r="AC650" s="9"/>
    </row>
    <row r="651">
      <c r="A651" s="9"/>
      <c r="B651" s="19"/>
      <c r="C651" s="9"/>
      <c r="D651" s="9"/>
      <c r="E651" s="59"/>
      <c r="F651" s="9"/>
      <c r="G651" s="9"/>
      <c r="H651" s="59"/>
      <c r="I651" s="59"/>
      <c r="J651" s="59"/>
      <c r="K651" s="59"/>
      <c r="L651" s="59"/>
      <c r="M651" s="59"/>
      <c r="N651" s="21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10"/>
      <c r="AA651" s="74"/>
      <c r="AB651" s="59"/>
      <c r="AC651" s="9"/>
    </row>
    <row r="652">
      <c r="A652" s="9"/>
      <c r="B652" s="19"/>
      <c r="C652" s="9"/>
      <c r="D652" s="9"/>
      <c r="E652" s="59"/>
      <c r="F652" s="9"/>
      <c r="G652" s="9"/>
      <c r="H652" s="59"/>
      <c r="I652" s="59"/>
      <c r="J652" s="59"/>
      <c r="K652" s="59"/>
      <c r="L652" s="59"/>
      <c r="M652" s="59"/>
      <c r="N652" s="21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10"/>
      <c r="AA652" s="74"/>
      <c r="AB652" s="59"/>
      <c r="AC652" s="9"/>
    </row>
    <row r="653">
      <c r="A653" s="9"/>
      <c r="B653" s="19"/>
      <c r="C653" s="9"/>
      <c r="D653" s="9"/>
      <c r="E653" s="59"/>
      <c r="F653" s="9"/>
      <c r="G653" s="9"/>
      <c r="H653" s="59"/>
      <c r="I653" s="59"/>
      <c r="J653" s="59"/>
      <c r="K653" s="59"/>
      <c r="L653" s="59"/>
      <c r="M653" s="59"/>
      <c r="N653" s="21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10"/>
      <c r="AA653" s="74"/>
      <c r="AB653" s="59"/>
      <c r="AC653" s="9"/>
    </row>
    <row r="654">
      <c r="A654" s="9"/>
      <c r="B654" s="19"/>
      <c r="C654" s="9"/>
      <c r="D654" s="9"/>
      <c r="E654" s="59"/>
      <c r="F654" s="9"/>
      <c r="G654" s="9"/>
      <c r="H654" s="59"/>
      <c r="I654" s="59"/>
      <c r="J654" s="59"/>
      <c r="K654" s="59"/>
      <c r="L654" s="59"/>
      <c r="M654" s="59"/>
      <c r="N654" s="21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10"/>
      <c r="AA654" s="74"/>
      <c r="AB654" s="59"/>
      <c r="AC654" s="9"/>
    </row>
    <row r="655">
      <c r="A655" s="9"/>
      <c r="B655" s="19"/>
      <c r="C655" s="9"/>
      <c r="D655" s="9"/>
      <c r="E655" s="59"/>
      <c r="F655" s="9"/>
      <c r="G655" s="9"/>
      <c r="H655" s="59"/>
      <c r="I655" s="59"/>
      <c r="J655" s="59"/>
      <c r="K655" s="59"/>
      <c r="L655" s="59"/>
      <c r="M655" s="59"/>
      <c r="N655" s="21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10"/>
      <c r="AA655" s="74"/>
      <c r="AB655" s="59"/>
      <c r="AC655" s="9"/>
    </row>
    <row r="656">
      <c r="A656" s="9"/>
      <c r="B656" s="19"/>
      <c r="C656" s="9"/>
      <c r="D656" s="9"/>
      <c r="E656" s="59"/>
      <c r="F656" s="9"/>
      <c r="G656" s="9"/>
      <c r="H656" s="59"/>
      <c r="I656" s="59"/>
      <c r="J656" s="59"/>
      <c r="K656" s="59"/>
      <c r="L656" s="59"/>
      <c r="M656" s="59"/>
      <c r="N656" s="21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10"/>
      <c r="AA656" s="74"/>
      <c r="AB656" s="59"/>
      <c r="AC656" s="9"/>
    </row>
    <row r="657">
      <c r="A657" s="9"/>
      <c r="B657" s="19"/>
      <c r="C657" s="9"/>
      <c r="D657" s="9"/>
      <c r="E657" s="59"/>
      <c r="F657" s="9"/>
      <c r="G657" s="9"/>
      <c r="H657" s="59"/>
      <c r="I657" s="59"/>
      <c r="J657" s="59"/>
      <c r="K657" s="59"/>
      <c r="L657" s="59"/>
      <c r="M657" s="59"/>
      <c r="N657" s="21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10"/>
      <c r="AA657" s="74"/>
      <c r="AB657" s="59"/>
      <c r="AC657" s="9"/>
    </row>
    <row r="658">
      <c r="A658" s="9"/>
      <c r="B658" s="19"/>
      <c r="C658" s="9"/>
      <c r="D658" s="9"/>
      <c r="E658" s="59"/>
      <c r="F658" s="9"/>
      <c r="G658" s="9"/>
      <c r="H658" s="59"/>
      <c r="I658" s="59"/>
      <c r="J658" s="59"/>
      <c r="K658" s="59"/>
      <c r="L658" s="59"/>
      <c r="M658" s="59"/>
      <c r="N658" s="21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10"/>
      <c r="AA658" s="74"/>
      <c r="AB658" s="59"/>
      <c r="AC658" s="9"/>
    </row>
    <row r="659">
      <c r="A659" s="9"/>
      <c r="B659" s="19"/>
      <c r="C659" s="9"/>
      <c r="D659" s="9"/>
      <c r="E659" s="59"/>
      <c r="F659" s="9"/>
      <c r="G659" s="9"/>
      <c r="H659" s="59"/>
      <c r="I659" s="59"/>
      <c r="J659" s="59"/>
      <c r="K659" s="59"/>
      <c r="L659" s="59"/>
      <c r="M659" s="59"/>
      <c r="N659" s="21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10"/>
      <c r="AA659" s="74"/>
      <c r="AB659" s="59"/>
      <c r="AC659" s="9"/>
    </row>
    <row r="660">
      <c r="A660" s="9"/>
      <c r="B660" s="19"/>
      <c r="C660" s="9"/>
      <c r="D660" s="9"/>
      <c r="E660" s="59"/>
      <c r="F660" s="9"/>
      <c r="G660" s="9"/>
      <c r="H660" s="59"/>
      <c r="I660" s="59"/>
      <c r="J660" s="59"/>
      <c r="K660" s="59"/>
      <c r="L660" s="59"/>
      <c r="M660" s="59"/>
      <c r="N660" s="21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10"/>
      <c r="AA660" s="74"/>
      <c r="AB660" s="59"/>
      <c r="AC660" s="9"/>
    </row>
    <row r="661">
      <c r="A661" s="9"/>
      <c r="B661" s="19"/>
      <c r="C661" s="9"/>
      <c r="D661" s="9"/>
      <c r="E661" s="59"/>
      <c r="F661" s="9"/>
      <c r="G661" s="9"/>
      <c r="H661" s="59"/>
      <c r="I661" s="59"/>
      <c r="J661" s="59"/>
      <c r="K661" s="59"/>
      <c r="L661" s="59"/>
      <c r="M661" s="59"/>
      <c r="N661" s="21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10"/>
      <c r="AA661" s="74"/>
      <c r="AB661" s="59"/>
      <c r="AC661" s="9"/>
    </row>
    <row r="662">
      <c r="A662" s="9"/>
      <c r="B662" s="19"/>
      <c r="C662" s="9"/>
      <c r="D662" s="9"/>
      <c r="E662" s="59"/>
      <c r="F662" s="9"/>
      <c r="G662" s="9"/>
      <c r="H662" s="59"/>
      <c r="I662" s="59"/>
      <c r="J662" s="59"/>
      <c r="K662" s="59"/>
      <c r="L662" s="59"/>
      <c r="M662" s="59"/>
      <c r="N662" s="21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10"/>
      <c r="AA662" s="74"/>
      <c r="AB662" s="59"/>
      <c r="AC662" s="9"/>
    </row>
    <row r="663">
      <c r="A663" s="9"/>
      <c r="B663" s="19"/>
      <c r="C663" s="9"/>
      <c r="D663" s="9"/>
      <c r="E663" s="59"/>
      <c r="F663" s="9"/>
      <c r="G663" s="9"/>
      <c r="H663" s="59"/>
      <c r="I663" s="59"/>
      <c r="J663" s="59"/>
      <c r="K663" s="59"/>
      <c r="L663" s="59"/>
      <c r="M663" s="59"/>
      <c r="N663" s="21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10"/>
      <c r="AA663" s="74"/>
      <c r="AB663" s="59"/>
      <c r="AC663" s="9"/>
    </row>
    <row r="664">
      <c r="A664" s="9"/>
      <c r="B664" s="19"/>
      <c r="C664" s="9"/>
      <c r="D664" s="9"/>
      <c r="E664" s="59"/>
      <c r="F664" s="9"/>
      <c r="G664" s="9"/>
      <c r="H664" s="59"/>
      <c r="I664" s="59"/>
      <c r="J664" s="59"/>
      <c r="K664" s="59"/>
      <c r="L664" s="59"/>
      <c r="M664" s="59"/>
      <c r="N664" s="21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10"/>
      <c r="AA664" s="74"/>
      <c r="AB664" s="59"/>
      <c r="AC664" s="9"/>
    </row>
    <row r="665">
      <c r="A665" s="9"/>
      <c r="B665" s="19"/>
      <c r="C665" s="9"/>
      <c r="D665" s="9"/>
      <c r="E665" s="59"/>
      <c r="F665" s="9"/>
      <c r="G665" s="9"/>
      <c r="H665" s="59"/>
      <c r="I665" s="59"/>
      <c r="J665" s="59"/>
      <c r="K665" s="59"/>
      <c r="L665" s="59"/>
      <c r="M665" s="59"/>
      <c r="N665" s="21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10"/>
      <c r="AA665" s="74"/>
      <c r="AB665" s="59"/>
      <c r="AC665" s="9"/>
    </row>
    <row r="666">
      <c r="A666" s="9"/>
      <c r="B666" s="19"/>
      <c r="C666" s="9"/>
      <c r="D666" s="9"/>
      <c r="E666" s="59"/>
      <c r="F666" s="9"/>
      <c r="G666" s="9"/>
      <c r="H666" s="59"/>
      <c r="I666" s="59"/>
      <c r="J666" s="59"/>
      <c r="K666" s="59"/>
      <c r="L666" s="59"/>
      <c r="M666" s="59"/>
      <c r="N666" s="21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10"/>
      <c r="AA666" s="74"/>
      <c r="AB666" s="59"/>
      <c r="AC666" s="9"/>
    </row>
    <row r="667">
      <c r="A667" s="9"/>
      <c r="B667" s="19"/>
      <c r="C667" s="9"/>
      <c r="D667" s="9"/>
      <c r="E667" s="59"/>
      <c r="F667" s="9"/>
      <c r="G667" s="9"/>
      <c r="H667" s="59"/>
      <c r="I667" s="59"/>
      <c r="J667" s="59"/>
      <c r="K667" s="59"/>
      <c r="L667" s="59"/>
      <c r="M667" s="59"/>
      <c r="N667" s="21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10"/>
      <c r="AA667" s="74"/>
      <c r="AB667" s="59"/>
      <c r="AC667" s="9"/>
    </row>
    <row r="668">
      <c r="A668" s="9"/>
      <c r="B668" s="19"/>
      <c r="C668" s="9"/>
      <c r="D668" s="9"/>
      <c r="E668" s="59"/>
      <c r="F668" s="9"/>
      <c r="G668" s="9"/>
      <c r="H668" s="59"/>
      <c r="I668" s="59"/>
      <c r="J668" s="59"/>
      <c r="K668" s="59"/>
      <c r="L668" s="59"/>
      <c r="M668" s="59"/>
      <c r="N668" s="21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10"/>
      <c r="AA668" s="74"/>
      <c r="AB668" s="59"/>
      <c r="AC668" s="9"/>
    </row>
    <row r="669">
      <c r="A669" s="9"/>
      <c r="B669" s="19"/>
      <c r="C669" s="9"/>
      <c r="D669" s="9"/>
      <c r="E669" s="59"/>
      <c r="F669" s="9"/>
      <c r="G669" s="9"/>
      <c r="H669" s="59"/>
      <c r="I669" s="59"/>
      <c r="J669" s="59"/>
      <c r="K669" s="59"/>
      <c r="L669" s="59"/>
      <c r="M669" s="59"/>
      <c r="N669" s="21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10"/>
      <c r="AA669" s="74"/>
      <c r="AB669" s="59"/>
      <c r="AC669" s="9"/>
    </row>
    <row r="670">
      <c r="A670" s="9"/>
      <c r="B670" s="19"/>
      <c r="C670" s="9"/>
      <c r="D670" s="9"/>
      <c r="E670" s="59"/>
      <c r="F670" s="9"/>
      <c r="G670" s="9"/>
      <c r="H670" s="59"/>
      <c r="I670" s="59"/>
      <c r="J670" s="59"/>
      <c r="K670" s="59"/>
      <c r="L670" s="59"/>
      <c r="M670" s="59"/>
      <c r="N670" s="21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10"/>
      <c r="AA670" s="74"/>
      <c r="AB670" s="59"/>
      <c r="AC670" s="9"/>
    </row>
    <row r="671">
      <c r="A671" s="9"/>
      <c r="B671" s="19"/>
      <c r="C671" s="9"/>
      <c r="D671" s="9"/>
      <c r="E671" s="59"/>
      <c r="F671" s="9"/>
      <c r="G671" s="9"/>
      <c r="H671" s="59"/>
      <c r="I671" s="59"/>
      <c r="J671" s="59"/>
      <c r="K671" s="59"/>
      <c r="L671" s="59"/>
      <c r="M671" s="59"/>
      <c r="N671" s="21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10"/>
      <c r="AA671" s="74"/>
      <c r="AB671" s="59"/>
      <c r="AC671" s="9"/>
    </row>
    <row r="672">
      <c r="A672" s="9"/>
      <c r="B672" s="19"/>
      <c r="C672" s="9"/>
      <c r="D672" s="9"/>
      <c r="E672" s="59"/>
      <c r="F672" s="9"/>
      <c r="G672" s="9"/>
      <c r="H672" s="59"/>
      <c r="I672" s="59"/>
      <c r="J672" s="59"/>
      <c r="K672" s="59"/>
      <c r="L672" s="59"/>
      <c r="M672" s="59"/>
      <c r="N672" s="21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10"/>
      <c r="AA672" s="74"/>
      <c r="AB672" s="59"/>
      <c r="AC672" s="9"/>
    </row>
    <row r="673">
      <c r="A673" s="9"/>
      <c r="B673" s="19"/>
      <c r="C673" s="9"/>
      <c r="D673" s="9"/>
      <c r="E673" s="59"/>
      <c r="F673" s="9"/>
      <c r="G673" s="9"/>
      <c r="H673" s="59"/>
      <c r="I673" s="59"/>
      <c r="J673" s="59"/>
      <c r="K673" s="59"/>
      <c r="L673" s="59"/>
      <c r="M673" s="59"/>
      <c r="N673" s="21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10"/>
      <c r="AA673" s="74"/>
      <c r="AB673" s="59"/>
      <c r="AC673" s="9"/>
    </row>
    <row r="674">
      <c r="A674" s="9"/>
      <c r="B674" s="19"/>
      <c r="C674" s="9"/>
      <c r="D674" s="9"/>
      <c r="E674" s="59"/>
      <c r="F674" s="9"/>
      <c r="G674" s="9"/>
      <c r="H674" s="59"/>
      <c r="I674" s="59"/>
      <c r="J674" s="59"/>
      <c r="K674" s="59"/>
      <c r="L674" s="59"/>
      <c r="M674" s="59"/>
      <c r="N674" s="21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10"/>
      <c r="AA674" s="74"/>
      <c r="AB674" s="59"/>
      <c r="AC674" s="9"/>
    </row>
    <row r="675">
      <c r="A675" s="9"/>
      <c r="B675" s="19"/>
      <c r="C675" s="9"/>
      <c r="D675" s="9"/>
      <c r="E675" s="59"/>
      <c r="F675" s="9"/>
      <c r="G675" s="9"/>
      <c r="H675" s="59"/>
      <c r="I675" s="59"/>
      <c r="J675" s="59"/>
      <c r="K675" s="59"/>
      <c r="L675" s="59"/>
      <c r="M675" s="59"/>
      <c r="N675" s="21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10"/>
      <c r="AA675" s="74"/>
      <c r="AB675" s="59"/>
      <c r="AC675" s="9"/>
    </row>
    <row r="676">
      <c r="A676" s="9"/>
      <c r="B676" s="19"/>
      <c r="C676" s="9"/>
      <c r="D676" s="9"/>
      <c r="E676" s="59"/>
      <c r="F676" s="9"/>
      <c r="G676" s="9"/>
      <c r="H676" s="59"/>
      <c r="I676" s="59"/>
      <c r="J676" s="59"/>
      <c r="K676" s="59"/>
      <c r="L676" s="59"/>
      <c r="M676" s="59"/>
      <c r="N676" s="21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10"/>
      <c r="AA676" s="74"/>
      <c r="AB676" s="59"/>
      <c r="AC676" s="9"/>
    </row>
    <row r="677">
      <c r="A677" s="9"/>
      <c r="B677" s="19"/>
      <c r="C677" s="9"/>
      <c r="D677" s="9"/>
      <c r="E677" s="59"/>
      <c r="F677" s="9"/>
      <c r="G677" s="9"/>
      <c r="H677" s="59"/>
      <c r="I677" s="59"/>
      <c r="J677" s="59"/>
      <c r="K677" s="59"/>
      <c r="L677" s="59"/>
      <c r="M677" s="59"/>
      <c r="N677" s="21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10"/>
      <c r="AA677" s="74"/>
      <c r="AB677" s="59"/>
      <c r="AC677" s="9"/>
    </row>
    <row r="678">
      <c r="A678" s="9"/>
      <c r="B678" s="19"/>
      <c r="C678" s="9"/>
      <c r="D678" s="9"/>
      <c r="E678" s="59"/>
      <c r="F678" s="9"/>
      <c r="G678" s="9"/>
      <c r="H678" s="59"/>
      <c r="I678" s="59"/>
      <c r="J678" s="59"/>
      <c r="K678" s="59"/>
      <c r="L678" s="59"/>
      <c r="M678" s="59"/>
      <c r="N678" s="21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10"/>
      <c r="AA678" s="74"/>
      <c r="AB678" s="59"/>
      <c r="AC678" s="9"/>
    </row>
    <row r="679">
      <c r="A679" s="9"/>
      <c r="B679" s="19"/>
      <c r="C679" s="9"/>
      <c r="D679" s="9"/>
      <c r="E679" s="59"/>
      <c r="F679" s="9"/>
      <c r="G679" s="9"/>
      <c r="H679" s="59"/>
      <c r="I679" s="59"/>
      <c r="J679" s="59"/>
      <c r="K679" s="59"/>
      <c r="L679" s="59"/>
      <c r="M679" s="59"/>
      <c r="N679" s="21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10"/>
      <c r="AA679" s="74"/>
      <c r="AB679" s="59"/>
      <c r="AC679" s="9"/>
    </row>
    <row r="680">
      <c r="A680" s="9"/>
      <c r="B680" s="19"/>
      <c r="C680" s="9"/>
      <c r="D680" s="9"/>
      <c r="E680" s="59"/>
      <c r="F680" s="9"/>
      <c r="G680" s="9"/>
      <c r="H680" s="59"/>
      <c r="I680" s="59"/>
      <c r="J680" s="59"/>
      <c r="K680" s="59"/>
      <c r="L680" s="59"/>
      <c r="M680" s="59"/>
      <c r="N680" s="21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10"/>
      <c r="AA680" s="74"/>
      <c r="AB680" s="59"/>
      <c r="AC680" s="9"/>
    </row>
    <row r="681">
      <c r="A681" s="9"/>
      <c r="B681" s="19"/>
      <c r="C681" s="9"/>
      <c r="D681" s="9"/>
      <c r="E681" s="59"/>
      <c r="F681" s="9"/>
      <c r="G681" s="9"/>
      <c r="H681" s="59"/>
      <c r="I681" s="59"/>
      <c r="J681" s="59"/>
      <c r="K681" s="59"/>
      <c r="L681" s="59"/>
      <c r="M681" s="59"/>
      <c r="N681" s="21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10"/>
      <c r="AA681" s="74"/>
      <c r="AB681" s="59"/>
      <c r="AC681" s="9"/>
    </row>
    <row r="682">
      <c r="A682" s="9"/>
      <c r="B682" s="19"/>
      <c r="C682" s="9"/>
      <c r="D682" s="9"/>
      <c r="E682" s="59"/>
      <c r="F682" s="9"/>
      <c r="G682" s="9"/>
      <c r="H682" s="59"/>
      <c r="I682" s="59"/>
      <c r="J682" s="59"/>
      <c r="K682" s="59"/>
      <c r="L682" s="59"/>
      <c r="M682" s="59"/>
      <c r="N682" s="21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10"/>
      <c r="AA682" s="74"/>
      <c r="AB682" s="59"/>
      <c r="AC682" s="9"/>
    </row>
    <row r="683">
      <c r="A683" s="9"/>
      <c r="B683" s="19"/>
      <c r="C683" s="9"/>
      <c r="D683" s="9"/>
      <c r="E683" s="59"/>
      <c r="F683" s="9"/>
      <c r="G683" s="9"/>
      <c r="H683" s="59"/>
      <c r="I683" s="59"/>
      <c r="J683" s="59"/>
      <c r="K683" s="59"/>
      <c r="L683" s="59"/>
      <c r="M683" s="59"/>
      <c r="N683" s="21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10"/>
      <c r="AA683" s="74"/>
      <c r="AB683" s="59"/>
      <c r="AC683" s="9"/>
    </row>
    <row r="684">
      <c r="A684" s="9"/>
      <c r="B684" s="19"/>
      <c r="C684" s="9"/>
      <c r="D684" s="9"/>
      <c r="E684" s="59"/>
      <c r="F684" s="9"/>
      <c r="G684" s="9"/>
      <c r="H684" s="59"/>
      <c r="I684" s="59"/>
      <c r="J684" s="59"/>
      <c r="K684" s="59"/>
      <c r="L684" s="59"/>
      <c r="M684" s="59"/>
      <c r="N684" s="21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10"/>
      <c r="AA684" s="74"/>
      <c r="AB684" s="59"/>
      <c r="AC684" s="9"/>
    </row>
    <row r="685">
      <c r="A685" s="9"/>
      <c r="B685" s="19"/>
      <c r="C685" s="9"/>
      <c r="D685" s="9"/>
      <c r="E685" s="59"/>
      <c r="F685" s="9"/>
      <c r="G685" s="9"/>
      <c r="H685" s="59"/>
      <c r="I685" s="59"/>
      <c r="J685" s="59"/>
      <c r="K685" s="59"/>
      <c r="L685" s="59"/>
      <c r="M685" s="59"/>
      <c r="N685" s="21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10"/>
      <c r="AA685" s="74"/>
      <c r="AB685" s="59"/>
      <c r="AC685" s="9"/>
    </row>
    <row r="686">
      <c r="A686" s="9"/>
      <c r="B686" s="19"/>
      <c r="C686" s="9"/>
      <c r="D686" s="9"/>
      <c r="E686" s="59"/>
      <c r="F686" s="9"/>
      <c r="G686" s="9"/>
      <c r="H686" s="59"/>
      <c r="I686" s="59"/>
      <c r="J686" s="59"/>
      <c r="K686" s="59"/>
      <c r="L686" s="59"/>
      <c r="M686" s="59"/>
      <c r="N686" s="21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10"/>
      <c r="AA686" s="74"/>
      <c r="AB686" s="59"/>
      <c r="AC686" s="9"/>
    </row>
    <row r="687">
      <c r="A687" s="9"/>
      <c r="B687" s="19"/>
      <c r="C687" s="9"/>
      <c r="D687" s="9"/>
      <c r="E687" s="59"/>
      <c r="F687" s="9"/>
      <c r="G687" s="9"/>
      <c r="H687" s="59"/>
      <c r="I687" s="59"/>
      <c r="J687" s="59"/>
      <c r="K687" s="59"/>
      <c r="L687" s="59"/>
      <c r="M687" s="59"/>
      <c r="N687" s="21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10"/>
      <c r="AA687" s="74"/>
      <c r="AB687" s="59"/>
      <c r="AC687" s="9"/>
    </row>
    <row r="688">
      <c r="A688" s="9"/>
      <c r="B688" s="19"/>
      <c r="C688" s="9"/>
      <c r="D688" s="9"/>
      <c r="E688" s="59"/>
      <c r="F688" s="9"/>
      <c r="G688" s="9"/>
      <c r="H688" s="59"/>
      <c r="I688" s="59"/>
      <c r="J688" s="59"/>
      <c r="K688" s="59"/>
      <c r="L688" s="59"/>
      <c r="M688" s="59"/>
      <c r="N688" s="21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10"/>
      <c r="AA688" s="74"/>
      <c r="AB688" s="59"/>
      <c r="AC688" s="9"/>
    </row>
    <row r="689">
      <c r="A689" s="9"/>
      <c r="B689" s="19"/>
      <c r="C689" s="9"/>
      <c r="D689" s="9"/>
      <c r="E689" s="59"/>
      <c r="F689" s="9"/>
      <c r="G689" s="9"/>
      <c r="H689" s="59"/>
      <c r="I689" s="59"/>
      <c r="J689" s="59"/>
      <c r="K689" s="59"/>
      <c r="L689" s="59"/>
      <c r="M689" s="59"/>
      <c r="N689" s="21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10"/>
      <c r="AA689" s="74"/>
      <c r="AB689" s="59"/>
      <c r="AC689" s="9"/>
    </row>
    <row r="690">
      <c r="A690" s="9"/>
      <c r="B690" s="19"/>
      <c r="C690" s="9"/>
      <c r="D690" s="9"/>
      <c r="E690" s="59"/>
      <c r="F690" s="9"/>
      <c r="G690" s="9"/>
      <c r="H690" s="59"/>
      <c r="I690" s="59"/>
      <c r="J690" s="59"/>
      <c r="K690" s="59"/>
      <c r="L690" s="59"/>
      <c r="M690" s="59"/>
      <c r="N690" s="21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10"/>
      <c r="AA690" s="74"/>
      <c r="AB690" s="59"/>
      <c r="AC690" s="9"/>
    </row>
    <row r="691">
      <c r="A691" s="9"/>
      <c r="B691" s="19"/>
      <c r="C691" s="9"/>
      <c r="D691" s="9"/>
      <c r="E691" s="59"/>
      <c r="F691" s="9"/>
      <c r="G691" s="9"/>
      <c r="H691" s="59"/>
      <c r="I691" s="59"/>
      <c r="J691" s="59"/>
      <c r="K691" s="59"/>
      <c r="L691" s="59"/>
      <c r="M691" s="59"/>
      <c r="N691" s="21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10"/>
      <c r="AA691" s="74"/>
      <c r="AB691" s="59"/>
      <c r="AC691" s="9"/>
    </row>
    <row r="692">
      <c r="A692" s="9"/>
      <c r="B692" s="19"/>
      <c r="C692" s="9"/>
      <c r="D692" s="9"/>
      <c r="E692" s="59"/>
      <c r="F692" s="9"/>
      <c r="G692" s="9"/>
      <c r="H692" s="59"/>
      <c r="I692" s="59"/>
      <c r="J692" s="59"/>
      <c r="K692" s="59"/>
      <c r="L692" s="59"/>
      <c r="M692" s="59"/>
      <c r="N692" s="21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10"/>
      <c r="AA692" s="74"/>
      <c r="AB692" s="59"/>
      <c r="AC692" s="9"/>
    </row>
    <row r="693">
      <c r="A693" s="9"/>
      <c r="B693" s="19"/>
      <c r="C693" s="9"/>
      <c r="D693" s="9"/>
      <c r="E693" s="59"/>
      <c r="F693" s="9"/>
      <c r="G693" s="9"/>
      <c r="H693" s="59"/>
      <c r="I693" s="59"/>
      <c r="J693" s="59"/>
      <c r="K693" s="59"/>
      <c r="L693" s="59"/>
      <c r="M693" s="59"/>
      <c r="N693" s="21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10"/>
      <c r="AA693" s="74"/>
      <c r="AB693" s="59"/>
      <c r="AC693" s="9"/>
    </row>
    <row r="694">
      <c r="A694" s="9"/>
      <c r="B694" s="19"/>
      <c r="C694" s="9"/>
      <c r="D694" s="9"/>
      <c r="E694" s="59"/>
      <c r="F694" s="9"/>
      <c r="G694" s="9"/>
      <c r="H694" s="59"/>
      <c r="I694" s="59"/>
      <c r="J694" s="59"/>
      <c r="K694" s="59"/>
      <c r="L694" s="59"/>
      <c r="M694" s="59"/>
      <c r="N694" s="21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10"/>
      <c r="AA694" s="74"/>
      <c r="AB694" s="59"/>
      <c r="AC694" s="9"/>
    </row>
    <row r="695">
      <c r="A695" s="9"/>
      <c r="B695" s="19"/>
      <c r="C695" s="9"/>
      <c r="D695" s="9"/>
      <c r="E695" s="59"/>
      <c r="F695" s="9"/>
      <c r="G695" s="9"/>
      <c r="H695" s="59"/>
      <c r="I695" s="59"/>
      <c r="J695" s="59"/>
      <c r="K695" s="59"/>
      <c r="L695" s="59"/>
      <c r="M695" s="59"/>
      <c r="N695" s="21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10"/>
      <c r="AA695" s="74"/>
      <c r="AB695" s="59"/>
      <c r="AC695" s="9"/>
    </row>
    <row r="696">
      <c r="A696" s="9"/>
      <c r="B696" s="19"/>
      <c r="C696" s="9"/>
      <c r="D696" s="9"/>
      <c r="E696" s="59"/>
      <c r="F696" s="9"/>
      <c r="G696" s="9"/>
      <c r="H696" s="59"/>
      <c r="I696" s="59"/>
      <c r="J696" s="59"/>
      <c r="K696" s="59"/>
      <c r="L696" s="59"/>
      <c r="M696" s="59"/>
      <c r="N696" s="21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10"/>
      <c r="AA696" s="74"/>
      <c r="AB696" s="59"/>
      <c r="AC696" s="9"/>
    </row>
    <row r="697">
      <c r="A697" s="9"/>
      <c r="B697" s="19"/>
      <c r="C697" s="9"/>
      <c r="D697" s="9"/>
      <c r="E697" s="59"/>
      <c r="F697" s="9"/>
      <c r="G697" s="9"/>
      <c r="H697" s="59"/>
      <c r="I697" s="59"/>
      <c r="J697" s="59"/>
      <c r="K697" s="59"/>
      <c r="L697" s="59"/>
      <c r="M697" s="59"/>
      <c r="N697" s="21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10"/>
      <c r="AA697" s="74"/>
      <c r="AB697" s="59"/>
      <c r="AC697" s="9"/>
    </row>
    <row r="698">
      <c r="A698" s="9"/>
      <c r="B698" s="19"/>
      <c r="C698" s="9"/>
      <c r="D698" s="9"/>
      <c r="E698" s="59"/>
      <c r="F698" s="9"/>
      <c r="G698" s="9"/>
      <c r="H698" s="59"/>
      <c r="I698" s="59"/>
      <c r="J698" s="59"/>
      <c r="K698" s="59"/>
      <c r="L698" s="59"/>
      <c r="M698" s="59"/>
      <c r="N698" s="21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10"/>
      <c r="AA698" s="74"/>
      <c r="AB698" s="59"/>
      <c r="AC698" s="9"/>
    </row>
    <row r="699">
      <c r="A699" s="9"/>
      <c r="B699" s="19"/>
      <c r="C699" s="9"/>
      <c r="D699" s="9"/>
      <c r="E699" s="59"/>
      <c r="F699" s="9"/>
      <c r="G699" s="9"/>
      <c r="H699" s="59"/>
      <c r="I699" s="59"/>
      <c r="J699" s="59"/>
      <c r="K699" s="59"/>
      <c r="L699" s="59"/>
      <c r="M699" s="59"/>
      <c r="N699" s="21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10"/>
      <c r="AA699" s="74"/>
      <c r="AB699" s="59"/>
      <c r="AC699" s="9"/>
    </row>
    <row r="700">
      <c r="A700" s="9"/>
      <c r="B700" s="19"/>
      <c r="C700" s="9"/>
      <c r="D700" s="9"/>
      <c r="E700" s="59"/>
      <c r="F700" s="9"/>
      <c r="G700" s="9"/>
      <c r="H700" s="59"/>
      <c r="I700" s="59"/>
      <c r="J700" s="59"/>
      <c r="K700" s="59"/>
      <c r="L700" s="59"/>
      <c r="M700" s="59"/>
      <c r="N700" s="21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10"/>
      <c r="AA700" s="74"/>
      <c r="AB700" s="59"/>
      <c r="AC700" s="9"/>
    </row>
    <row r="701">
      <c r="A701" s="9"/>
      <c r="B701" s="19"/>
      <c r="C701" s="9"/>
      <c r="D701" s="9"/>
      <c r="E701" s="59"/>
      <c r="F701" s="9"/>
      <c r="G701" s="9"/>
      <c r="H701" s="59"/>
      <c r="I701" s="59"/>
      <c r="J701" s="59"/>
      <c r="K701" s="59"/>
      <c r="L701" s="59"/>
      <c r="M701" s="59"/>
      <c r="N701" s="21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10"/>
      <c r="AA701" s="74"/>
      <c r="AB701" s="59"/>
      <c r="AC701" s="9"/>
    </row>
    <row r="702">
      <c r="A702" s="9"/>
      <c r="B702" s="19"/>
      <c r="C702" s="9"/>
      <c r="D702" s="9"/>
      <c r="E702" s="59"/>
      <c r="F702" s="9"/>
      <c r="G702" s="9"/>
      <c r="H702" s="59"/>
      <c r="I702" s="59"/>
      <c r="J702" s="59"/>
      <c r="K702" s="59"/>
      <c r="L702" s="59"/>
      <c r="M702" s="59"/>
      <c r="N702" s="21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10"/>
      <c r="AA702" s="74"/>
      <c r="AB702" s="59"/>
      <c r="AC702" s="9"/>
    </row>
    <row r="703">
      <c r="A703" s="9"/>
      <c r="B703" s="19"/>
      <c r="C703" s="9"/>
      <c r="D703" s="9"/>
      <c r="E703" s="59"/>
      <c r="F703" s="9"/>
      <c r="G703" s="9"/>
      <c r="H703" s="59"/>
      <c r="I703" s="59"/>
      <c r="J703" s="59"/>
      <c r="K703" s="59"/>
      <c r="L703" s="59"/>
      <c r="M703" s="59"/>
      <c r="N703" s="21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10"/>
      <c r="AA703" s="74"/>
      <c r="AB703" s="59"/>
      <c r="AC703" s="9"/>
    </row>
    <row r="704">
      <c r="A704" s="9"/>
      <c r="B704" s="19"/>
      <c r="C704" s="9"/>
      <c r="D704" s="9"/>
      <c r="E704" s="59"/>
      <c r="F704" s="9"/>
      <c r="G704" s="9"/>
      <c r="H704" s="59"/>
      <c r="I704" s="59"/>
      <c r="J704" s="59"/>
      <c r="K704" s="59"/>
      <c r="L704" s="59"/>
      <c r="M704" s="59"/>
      <c r="N704" s="21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10"/>
      <c r="AA704" s="74"/>
      <c r="AB704" s="59"/>
      <c r="AC704" s="9"/>
    </row>
    <row r="705">
      <c r="A705" s="9"/>
      <c r="B705" s="19"/>
      <c r="C705" s="9"/>
      <c r="D705" s="9"/>
      <c r="E705" s="59"/>
      <c r="F705" s="9"/>
      <c r="G705" s="9"/>
      <c r="H705" s="59"/>
      <c r="I705" s="59"/>
      <c r="J705" s="59"/>
      <c r="K705" s="59"/>
      <c r="L705" s="59"/>
      <c r="M705" s="59"/>
      <c r="N705" s="21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10"/>
      <c r="AA705" s="74"/>
      <c r="AB705" s="59"/>
      <c r="AC705" s="9"/>
    </row>
    <row r="706">
      <c r="A706" s="9"/>
      <c r="B706" s="19"/>
      <c r="C706" s="9"/>
      <c r="D706" s="9"/>
      <c r="E706" s="59"/>
      <c r="F706" s="9"/>
      <c r="G706" s="9"/>
      <c r="H706" s="59"/>
      <c r="I706" s="59"/>
      <c r="J706" s="59"/>
      <c r="K706" s="59"/>
      <c r="L706" s="59"/>
      <c r="M706" s="59"/>
      <c r="N706" s="21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10"/>
      <c r="AA706" s="74"/>
      <c r="AB706" s="59"/>
      <c r="AC706" s="9"/>
    </row>
    <row r="707">
      <c r="A707" s="9"/>
      <c r="B707" s="19"/>
      <c r="C707" s="9"/>
      <c r="D707" s="9"/>
      <c r="E707" s="59"/>
      <c r="F707" s="9"/>
      <c r="G707" s="9"/>
      <c r="H707" s="59"/>
      <c r="I707" s="59"/>
      <c r="J707" s="59"/>
      <c r="K707" s="59"/>
      <c r="L707" s="59"/>
      <c r="M707" s="59"/>
      <c r="N707" s="21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10"/>
      <c r="AA707" s="74"/>
      <c r="AB707" s="59"/>
      <c r="AC707" s="9"/>
    </row>
    <row r="708">
      <c r="A708" s="9"/>
      <c r="B708" s="19"/>
      <c r="C708" s="9"/>
      <c r="D708" s="9"/>
      <c r="E708" s="59"/>
      <c r="F708" s="9"/>
      <c r="G708" s="9"/>
      <c r="H708" s="59"/>
      <c r="I708" s="59"/>
      <c r="J708" s="59"/>
      <c r="K708" s="59"/>
      <c r="L708" s="59"/>
      <c r="M708" s="59"/>
      <c r="N708" s="21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10"/>
      <c r="AA708" s="74"/>
      <c r="AB708" s="59"/>
      <c r="AC708" s="9"/>
    </row>
    <row r="709">
      <c r="A709" s="9"/>
      <c r="B709" s="19"/>
      <c r="C709" s="9"/>
      <c r="D709" s="9"/>
      <c r="E709" s="59"/>
      <c r="F709" s="9"/>
      <c r="G709" s="9"/>
      <c r="H709" s="59"/>
      <c r="I709" s="59"/>
      <c r="J709" s="59"/>
      <c r="K709" s="59"/>
      <c r="L709" s="59"/>
      <c r="M709" s="59"/>
      <c r="N709" s="21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10"/>
      <c r="AA709" s="74"/>
      <c r="AB709" s="59"/>
      <c r="AC709" s="9"/>
    </row>
    <row r="710">
      <c r="A710" s="9"/>
      <c r="B710" s="19"/>
      <c r="C710" s="9"/>
      <c r="D710" s="9"/>
      <c r="E710" s="59"/>
      <c r="F710" s="9"/>
      <c r="G710" s="9"/>
      <c r="H710" s="59"/>
      <c r="I710" s="59"/>
      <c r="J710" s="59"/>
      <c r="K710" s="59"/>
      <c r="L710" s="59"/>
      <c r="M710" s="59"/>
      <c r="N710" s="21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10"/>
      <c r="AA710" s="74"/>
      <c r="AB710" s="59"/>
      <c r="AC710" s="9"/>
    </row>
    <row r="711">
      <c r="A711" s="9"/>
      <c r="B711" s="19"/>
      <c r="C711" s="9"/>
      <c r="D711" s="9"/>
      <c r="E711" s="59"/>
      <c r="F711" s="9"/>
      <c r="G711" s="9"/>
      <c r="H711" s="59"/>
      <c r="I711" s="59"/>
      <c r="J711" s="59"/>
      <c r="K711" s="59"/>
      <c r="L711" s="59"/>
      <c r="M711" s="59"/>
      <c r="N711" s="21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10"/>
      <c r="AA711" s="74"/>
      <c r="AB711" s="59"/>
      <c r="AC711" s="9"/>
    </row>
    <row r="712">
      <c r="A712" s="9"/>
      <c r="B712" s="19"/>
      <c r="C712" s="9"/>
      <c r="D712" s="9"/>
      <c r="E712" s="59"/>
      <c r="F712" s="9"/>
      <c r="G712" s="9"/>
      <c r="H712" s="59"/>
      <c r="I712" s="59"/>
      <c r="J712" s="59"/>
      <c r="K712" s="59"/>
      <c r="L712" s="59"/>
      <c r="M712" s="59"/>
      <c r="N712" s="21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10"/>
      <c r="AA712" s="74"/>
      <c r="AB712" s="59"/>
      <c r="AC712" s="9"/>
    </row>
    <row r="713">
      <c r="A713" s="9"/>
      <c r="B713" s="19"/>
      <c r="C713" s="9"/>
      <c r="D713" s="9"/>
      <c r="E713" s="59"/>
      <c r="F713" s="9"/>
      <c r="G713" s="9"/>
      <c r="H713" s="59"/>
      <c r="I713" s="59"/>
      <c r="J713" s="59"/>
      <c r="K713" s="59"/>
      <c r="L713" s="59"/>
      <c r="M713" s="59"/>
      <c r="N713" s="21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10"/>
      <c r="AA713" s="74"/>
      <c r="AB713" s="59"/>
      <c r="AC713" s="9"/>
    </row>
    <row r="714">
      <c r="A714" s="9"/>
      <c r="B714" s="19"/>
      <c r="C714" s="9"/>
      <c r="D714" s="9"/>
      <c r="E714" s="59"/>
      <c r="F714" s="9"/>
      <c r="G714" s="9"/>
      <c r="H714" s="59"/>
      <c r="I714" s="59"/>
      <c r="J714" s="59"/>
      <c r="K714" s="59"/>
      <c r="L714" s="59"/>
      <c r="M714" s="59"/>
      <c r="N714" s="21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10"/>
      <c r="AA714" s="74"/>
      <c r="AB714" s="59"/>
      <c r="AC714" s="9"/>
    </row>
    <row r="715">
      <c r="A715" s="9"/>
      <c r="B715" s="19"/>
      <c r="C715" s="9"/>
      <c r="D715" s="9"/>
      <c r="E715" s="59"/>
      <c r="F715" s="9"/>
      <c r="G715" s="9"/>
      <c r="H715" s="59"/>
      <c r="I715" s="59"/>
      <c r="J715" s="59"/>
      <c r="K715" s="59"/>
      <c r="L715" s="59"/>
      <c r="M715" s="59"/>
      <c r="N715" s="21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10"/>
      <c r="AA715" s="74"/>
      <c r="AB715" s="59"/>
      <c r="AC715" s="9"/>
    </row>
    <row r="716">
      <c r="A716" s="9"/>
      <c r="B716" s="19"/>
      <c r="C716" s="9"/>
      <c r="D716" s="9"/>
      <c r="E716" s="59"/>
      <c r="F716" s="9"/>
      <c r="G716" s="9"/>
      <c r="H716" s="59"/>
      <c r="I716" s="59"/>
      <c r="J716" s="59"/>
      <c r="K716" s="59"/>
      <c r="L716" s="59"/>
      <c r="M716" s="59"/>
      <c r="N716" s="21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10"/>
      <c r="AA716" s="74"/>
      <c r="AB716" s="59"/>
      <c r="AC716" s="9"/>
    </row>
    <row r="717">
      <c r="A717" s="9"/>
      <c r="B717" s="19"/>
      <c r="C717" s="9"/>
      <c r="D717" s="9"/>
      <c r="E717" s="59"/>
      <c r="F717" s="9"/>
      <c r="G717" s="9"/>
      <c r="H717" s="59"/>
      <c r="I717" s="59"/>
      <c r="J717" s="59"/>
      <c r="K717" s="59"/>
      <c r="L717" s="59"/>
      <c r="M717" s="59"/>
      <c r="N717" s="21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10"/>
      <c r="AA717" s="74"/>
      <c r="AB717" s="59"/>
      <c r="AC717" s="9"/>
    </row>
    <row r="718">
      <c r="A718" s="9"/>
      <c r="B718" s="19"/>
      <c r="C718" s="9"/>
      <c r="D718" s="9"/>
      <c r="E718" s="59"/>
      <c r="F718" s="9"/>
      <c r="G718" s="9"/>
      <c r="H718" s="59"/>
      <c r="I718" s="59"/>
      <c r="J718" s="59"/>
      <c r="K718" s="59"/>
      <c r="L718" s="59"/>
      <c r="M718" s="59"/>
      <c r="N718" s="21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10"/>
      <c r="AA718" s="74"/>
      <c r="AB718" s="59"/>
      <c r="AC718" s="9"/>
    </row>
    <row r="719">
      <c r="A719" s="9"/>
      <c r="B719" s="19"/>
      <c r="C719" s="9"/>
      <c r="D719" s="9"/>
      <c r="E719" s="59"/>
      <c r="F719" s="9"/>
      <c r="G719" s="9"/>
      <c r="H719" s="59"/>
      <c r="I719" s="59"/>
      <c r="J719" s="59"/>
      <c r="K719" s="59"/>
      <c r="L719" s="59"/>
      <c r="M719" s="59"/>
      <c r="N719" s="21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10"/>
      <c r="AA719" s="74"/>
      <c r="AB719" s="59"/>
      <c r="AC719" s="9"/>
    </row>
    <row r="720">
      <c r="A720" s="9"/>
      <c r="B720" s="19"/>
      <c r="C720" s="9"/>
      <c r="D720" s="9"/>
      <c r="E720" s="59"/>
      <c r="F720" s="9"/>
      <c r="G720" s="9"/>
      <c r="H720" s="59"/>
      <c r="I720" s="59"/>
      <c r="J720" s="59"/>
      <c r="K720" s="59"/>
      <c r="L720" s="59"/>
      <c r="M720" s="59"/>
      <c r="N720" s="21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10"/>
      <c r="AA720" s="74"/>
      <c r="AB720" s="59"/>
      <c r="AC720" s="9"/>
    </row>
    <row r="721">
      <c r="A721" s="9"/>
      <c r="B721" s="19"/>
      <c r="C721" s="9"/>
      <c r="D721" s="9"/>
      <c r="E721" s="59"/>
      <c r="F721" s="9"/>
      <c r="G721" s="9"/>
      <c r="H721" s="59"/>
      <c r="I721" s="59"/>
      <c r="J721" s="59"/>
      <c r="K721" s="59"/>
      <c r="L721" s="59"/>
      <c r="M721" s="59"/>
      <c r="N721" s="21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10"/>
      <c r="AA721" s="74"/>
      <c r="AB721" s="59"/>
      <c r="AC721" s="9"/>
    </row>
    <row r="722">
      <c r="A722" s="9"/>
      <c r="B722" s="19"/>
      <c r="C722" s="9"/>
      <c r="D722" s="9"/>
      <c r="E722" s="59"/>
      <c r="F722" s="9"/>
      <c r="G722" s="9"/>
      <c r="H722" s="59"/>
      <c r="I722" s="59"/>
      <c r="J722" s="59"/>
      <c r="K722" s="59"/>
      <c r="L722" s="59"/>
      <c r="M722" s="59"/>
      <c r="N722" s="21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10"/>
      <c r="AA722" s="74"/>
      <c r="AB722" s="59"/>
      <c r="AC722" s="9"/>
    </row>
    <row r="723">
      <c r="A723" s="9"/>
      <c r="B723" s="19"/>
      <c r="C723" s="9"/>
      <c r="D723" s="9"/>
      <c r="E723" s="59"/>
      <c r="F723" s="9"/>
      <c r="G723" s="9"/>
      <c r="H723" s="59"/>
      <c r="I723" s="59"/>
      <c r="J723" s="59"/>
      <c r="K723" s="59"/>
      <c r="L723" s="59"/>
      <c r="M723" s="59"/>
      <c r="N723" s="21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10"/>
      <c r="AA723" s="74"/>
      <c r="AB723" s="59"/>
      <c r="AC723" s="9"/>
    </row>
    <row r="724">
      <c r="A724" s="9"/>
      <c r="B724" s="19"/>
      <c r="C724" s="9"/>
      <c r="D724" s="9"/>
      <c r="E724" s="59"/>
      <c r="F724" s="9"/>
      <c r="G724" s="9"/>
      <c r="H724" s="59"/>
      <c r="I724" s="59"/>
      <c r="J724" s="59"/>
      <c r="K724" s="59"/>
      <c r="L724" s="59"/>
      <c r="M724" s="59"/>
      <c r="N724" s="21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10"/>
      <c r="AA724" s="74"/>
      <c r="AB724" s="59"/>
      <c r="AC724" s="9"/>
    </row>
    <row r="725">
      <c r="A725" s="9"/>
      <c r="B725" s="19"/>
      <c r="C725" s="9"/>
      <c r="D725" s="9"/>
      <c r="E725" s="59"/>
      <c r="F725" s="9"/>
      <c r="G725" s="9"/>
      <c r="H725" s="59"/>
      <c r="I725" s="59"/>
      <c r="J725" s="59"/>
      <c r="K725" s="59"/>
      <c r="L725" s="59"/>
      <c r="M725" s="59"/>
      <c r="N725" s="21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10"/>
      <c r="AA725" s="74"/>
      <c r="AB725" s="59"/>
      <c r="AC725" s="9"/>
    </row>
    <row r="726">
      <c r="A726" s="9"/>
      <c r="B726" s="19"/>
      <c r="C726" s="9"/>
      <c r="D726" s="9"/>
      <c r="E726" s="59"/>
      <c r="F726" s="9"/>
      <c r="G726" s="9"/>
      <c r="H726" s="59"/>
      <c r="I726" s="59"/>
      <c r="J726" s="59"/>
      <c r="K726" s="59"/>
      <c r="L726" s="59"/>
      <c r="M726" s="59"/>
      <c r="N726" s="21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10"/>
      <c r="AA726" s="74"/>
      <c r="AB726" s="59"/>
      <c r="AC726" s="9"/>
    </row>
    <row r="727">
      <c r="A727" s="9"/>
      <c r="B727" s="19"/>
      <c r="C727" s="9"/>
      <c r="D727" s="9"/>
      <c r="E727" s="59"/>
      <c r="F727" s="9"/>
      <c r="G727" s="9"/>
      <c r="H727" s="59"/>
      <c r="I727" s="59"/>
      <c r="J727" s="59"/>
      <c r="K727" s="59"/>
      <c r="L727" s="59"/>
      <c r="M727" s="59"/>
      <c r="N727" s="21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10"/>
      <c r="AA727" s="74"/>
      <c r="AB727" s="59"/>
      <c r="AC727" s="9"/>
    </row>
    <row r="728">
      <c r="A728" s="9"/>
      <c r="B728" s="19"/>
      <c r="C728" s="9"/>
      <c r="D728" s="9"/>
      <c r="E728" s="59"/>
      <c r="F728" s="9"/>
      <c r="G728" s="9"/>
      <c r="H728" s="59"/>
      <c r="I728" s="59"/>
      <c r="J728" s="59"/>
      <c r="K728" s="59"/>
      <c r="L728" s="59"/>
      <c r="M728" s="59"/>
      <c r="N728" s="21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10"/>
      <c r="AA728" s="74"/>
      <c r="AB728" s="59"/>
      <c r="AC728" s="9"/>
    </row>
    <row r="729">
      <c r="A729" s="9"/>
      <c r="B729" s="19"/>
      <c r="C729" s="9"/>
      <c r="D729" s="9"/>
      <c r="E729" s="59"/>
      <c r="F729" s="9"/>
      <c r="G729" s="9"/>
      <c r="H729" s="59"/>
      <c r="I729" s="59"/>
      <c r="J729" s="59"/>
      <c r="K729" s="59"/>
      <c r="L729" s="59"/>
      <c r="M729" s="59"/>
      <c r="N729" s="21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10"/>
      <c r="AA729" s="74"/>
      <c r="AB729" s="59"/>
      <c r="AC729" s="9"/>
    </row>
    <row r="730">
      <c r="A730" s="9"/>
      <c r="B730" s="19"/>
      <c r="C730" s="9"/>
      <c r="D730" s="9"/>
      <c r="E730" s="59"/>
      <c r="F730" s="9"/>
      <c r="G730" s="9"/>
      <c r="H730" s="59"/>
      <c r="I730" s="59"/>
      <c r="J730" s="59"/>
      <c r="K730" s="59"/>
      <c r="L730" s="59"/>
      <c r="M730" s="59"/>
      <c r="N730" s="21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10"/>
      <c r="AA730" s="74"/>
      <c r="AB730" s="59"/>
      <c r="AC730" s="9"/>
    </row>
    <row r="731">
      <c r="A731" s="9"/>
      <c r="B731" s="19"/>
      <c r="C731" s="9"/>
      <c r="D731" s="9"/>
      <c r="E731" s="59"/>
      <c r="F731" s="9"/>
      <c r="G731" s="9"/>
      <c r="H731" s="59"/>
      <c r="I731" s="59"/>
      <c r="J731" s="59"/>
      <c r="K731" s="59"/>
      <c r="L731" s="59"/>
      <c r="M731" s="59"/>
      <c r="N731" s="21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10"/>
      <c r="AA731" s="74"/>
      <c r="AB731" s="59"/>
      <c r="AC731" s="9"/>
    </row>
    <row r="732">
      <c r="A732" s="9"/>
      <c r="B732" s="19"/>
      <c r="C732" s="9"/>
      <c r="D732" s="9"/>
      <c r="E732" s="59"/>
      <c r="F732" s="9"/>
      <c r="G732" s="9"/>
      <c r="H732" s="59"/>
      <c r="I732" s="59"/>
      <c r="J732" s="59"/>
      <c r="K732" s="59"/>
      <c r="L732" s="59"/>
      <c r="M732" s="59"/>
      <c r="N732" s="21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10"/>
      <c r="AA732" s="74"/>
      <c r="AB732" s="59"/>
      <c r="AC732" s="9"/>
    </row>
    <row r="733">
      <c r="A733" s="9"/>
      <c r="B733" s="19"/>
      <c r="C733" s="9"/>
      <c r="D733" s="9"/>
      <c r="E733" s="59"/>
      <c r="F733" s="9"/>
      <c r="G733" s="9"/>
      <c r="H733" s="59"/>
      <c r="I733" s="59"/>
      <c r="J733" s="59"/>
      <c r="K733" s="59"/>
      <c r="L733" s="59"/>
      <c r="M733" s="59"/>
      <c r="N733" s="21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10"/>
      <c r="AA733" s="74"/>
      <c r="AB733" s="59"/>
      <c r="AC733" s="9"/>
    </row>
    <row r="734">
      <c r="A734" s="9"/>
      <c r="B734" s="19"/>
      <c r="C734" s="9"/>
      <c r="D734" s="9"/>
      <c r="E734" s="59"/>
      <c r="F734" s="9"/>
      <c r="G734" s="9"/>
      <c r="H734" s="59"/>
      <c r="I734" s="59"/>
      <c r="J734" s="59"/>
      <c r="K734" s="59"/>
      <c r="L734" s="59"/>
      <c r="M734" s="59"/>
      <c r="N734" s="21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10"/>
      <c r="AA734" s="74"/>
      <c r="AB734" s="59"/>
      <c r="AC734" s="9"/>
    </row>
    <row r="735">
      <c r="A735" s="9"/>
      <c r="B735" s="19"/>
      <c r="C735" s="9"/>
      <c r="D735" s="9"/>
      <c r="E735" s="59"/>
      <c r="F735" s="9"/>
      <c r="G735" s="9"/>
      <c r="H735" s="59"/>
      <c r="I735" s="59"/>
      <c r="J735" s="59"/>
      <c r="K735" s="59"/>
      <c r="L735" s="59"/>
      <c r="M735" s="59"/>
      <c r="N735" s="21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10"/>
      <c r="AA735" s="74"/>
      <c r="AB735" s="59"/>
      <c r="AC735" s="9"/>
    </row>
    <row r="736">
      <c r="A736" s="9"/>
      <c r="B736" s="19"/>
      <c r="C736" s="9"/>
      <c r="D736" s="9"/>
      <c r="E736" s="59"/>
      <c r="F736" s="9"/>
      <c r="G736" s="9"/>
      <c r="H736" s="59"/>
      <c r="I736" s="59"/>
      <c r="J736" s="59"/>
      <c r="K736" s="59"/>
      <c r="L736" s="59"/>
      <c r="M736" s="59"/>
      <c r="N736" s="21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10"/>
      <c r="AA736" s="74"/>
      <c r="AB736" s="59"/>
      <c r="AC736" s="9"/>
    </row>
    <row r="737">
      <c r="A737" s="9"/>
      <c r="B737" s="19"/>
      <c r="C737" s="9"/>
      <c r="D737" s="9"/>
      <c r="E737" s="59"/>
      <c r="F737" s="9"/>
      <c r="G737" s="9"/>
      <c r="H737" s="59"/>
      <c r="I737" s="59"/>
      <c r="J737" s="59"/>
      <c r="K737" s="59"/>
      <c r="L737" s="59"/>
      <c r="M737" s="59"/>
      <c r="N737" s="21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10"/>
      <c r="AA737" s="74"/>
      <c r="AB737" s="59"/>
      <c r="AC737" s="9"/>
    </row>
    <row r="738">
      <c r="A738" s="9"/>
      <c r="B738" s="19"/>
      <c r="C738" s="9"/>
      <c r="D738" s="9"/>
      <c r="E738" s="59"/>
      <c r="F738" s="9"/>
      <c r="G738" s="9"/>
      <c r="H738" s="59"/>
      <c r="I738" s="59"/>
      <c r="J738" s="59"/>
      <c r="K738" s="59"/>
      <c r="L738" s="59"/>
      <c r="M738" s="59"/>
      <c r="N738" s="21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10"/>
      <c r="AA738" s="74"/>
      <c r="AB738" s="59"/>
      <c r="AC738" s="9"/>
    </row>
    <row r="739">
      <c r="A739" s="9"/>
      <c r="B739" s="19"/>
      <c r="C739" s="9"/>
      <c r="D739" s="9"/>
      <c r="E739" s="59"/>
      <c r="F739" s="9"/>
      <c r="G739" s="9"/>
      <c r="H739" s="59"/>
      <c r="I739" s="59"/>
      <c r="J739" s="59"/>
      <c r="K739" s="59"/>
      <c r="L739" s="59"/>
      <c r="M739" s="59"/>
      <c r="N739" s="21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10"/>
      <c r="AA739" s="74"/>
      <c r="AB739" s="59"/>
      <c r="AC739" s="9"/>
    </row>
    <row r="740">
      <c r="A740" s="9"/>
      <c r="B740" s="19"/>
      <c r="C740" s="9"/>
      <c r="D740" s="9"/>
      <c r="E740" s="59"/>
      <c r="F740" s="9"/>
      <c r="G740" s="9"/>
      <c r="H740" s="59"/>
      <c r="I740" s="59"/>
      <c r="J740" s="59"/>
      <c r="K740" s="59"/>
      <c r="L740" s="59"/>
      <c r="M740" s="59"/>
      <c r="N740" s="21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10"/>
      <c r="AA740" s="74"/>
      <c r="AB740" s="59"/>
      <c r="AC740" s="9"/>
    </row>
    <row r="741">
      <c r="A741" s="9"/>
      <c r="B741" s="19"/>
      <c r="C741" s="9"/>
      <c r="D741" s="9"/>
      <c r="E741" s="59"/>
      <c r="F741" s="9"/>
      <c r="G741" s="9"/>
      <c r="H741" s="59"/>
      <c r="I741" s="59"/>
      <c r="J741" s="59"/>
      <c r="K741" s="59"/>
      <c r="L741" s="59"/>
      <c r="M741" s="59"/>
      <c r="N741" s="21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10"/>
      <c r="AA741" s="74"/>
      <c r="AB741" s="59"/>
      <c r="AC741" s="9"/>
    </row>
    <row r="742">
      <c r="A742" s="9"/>
      <c r="B742" s="19"/>
      <c r="C742" s="9"/>
      <c r="D742" s="9"/>
      <c r="E742" s="59"/>
      <c r="F742" s="9"/>
      <c r="G742" s="9"/>
      <c r="H742" s="59"/>
      <c r="I742" s="59"/>
      <c r="J742" s="59"/>
      <c r="K742" s="59"/>
      <c r="L742" s="59"/>
      <c r="M742" s="59"/>
      <c r="N742" s="21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10"/>
      <c r="AA742" s="74"/>
      <c r="AB742" s="59"/>
      <c r="AC742" s="9"/>
    </row>
    <row r="743">
      <c r="A743" s="9"/>
      <c r="B743" s="19"/>
      <c r="C743" s="9"/>
      <c r="D743" s="9"/>
      <c r="E743" s="59"/>
      <c r="F743" s="9"/>
      <c r="G743" s="9"/>
      <c r="H743" s="59"/>
      <c r="I743" s="59"/>
      <c r="J743" s="59"/>
      <c r="K743" s="59"/>
      <c r="L743" s="59"/>
      <c r="M743" s="59"/>
      <c r="N743" s="21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10"/>
      <c r="AA743" s="74"/>
      <c r="AB743" s="59"/>
      <c r="AC743" s="9"/>
    </row>
    <row r="744">
      <c r="A744" s="9"/>
      <c r="B744" s="19"/>
      <c r="C744" s="9"/>
      <c r="D744" s="9"/>
      <c r="E744" s="59"/>
      <c r="F744" s="9"/>
      <c r="G744" s="9"/>
      <c r="H744" s="59"/>
      <c r="I744" s="59"/>
      <c r="J744" s="59"/>
      <c r="K744" s="59"/>
      <c r="L744" s="59"/>
      <c r="M744" s="59"/>
      <c r="N744" s="21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10"/>
      <c r="AA744" s="74"/>
      <c r="AB744" s="59"/>
      <c r="AC744" s="9"/>
    </row>
    <row r="745">
      <c r="A745" s="9"/>
      <c r="B745" s="19"/>
      <c r="C745" s="9"/>
      <c r="D745" s="9"/>
      <c r="E745" s="59"/>
      <c r="F745" s="9"/>
      <c r="G745" s="9"/>
      <c r="H745" s="59"/>
      <c r="I745" s="59"/>
      <c r="J745" s="59"/>
      <c r="K745" s="59"/>
      <c r="L745" s="59"/>
      <c r="M745" s="59"/>
      <c r="N745" s="21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10"/>
      <c r="AA745" s="74"/>
      <c r="AB745" s="59"/>
      <c r="AC745" s="9"/>
    </row>
    <row r="746">
      <c r="A746" s="9"/>
      <c r="B746" s="19"/>
      <c r="C746" s="9"/>
      <c r="D746" s="9"/>
      <c r="E746" s="59"/>
      <c r="F746" s="9"/>
      <c r="G746" s="9"/>
      <c r="H746" s="59"/>
      <c r="I746" s="59"/>
      <c r="J746" s="59"/>
      <c r="K746" s="59"/>
      <c r="L746" s="59"/>
      <c r="M746" s="59"/>
      <c r="N746" s="21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10"/>
      <c r="AA746" s="74"/>
      <c r="AB746" s="59"/>
      <c r="AC746" s="9"/>
    </row>
    <row r="747">
      <c r="A747" s="9"/>
      <c r="B747" s="19"/>
      <c r="C747" s="9"/>
      <c r="D747" s="9"/>
      <c r="E747" s="59"/>
      <c r="F747" s="9"/>
      <c r="G747" s="9"/>
      <c r="H747" s="59"/>
      <c r="I747" s="59"/>
      <c r="J747" s="59"/>
      <c r="K747" s="59"/>
      <c r="L747" s="59"/>
      <c r="M747" s="59"/>
      <c r="N747" s="21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10"/>
      <c r="AA747" s="74"/>
      <c r="AB747" s="59"/>
      <c r="AC747" s="9"/>
    </row>
    <row r="748">
      <c r="A748" s="9"/>
      <c r="B748" s="19"/>
      <c r="C748" s="9"/>
      <c r="D748" s="9"/>
      <c r="E748" s="59"/>
      <c r="F748" s="9"/>
      <c r="G748" s="9"/>
      <c r="H748" s="59"/>
      <c r="I748" s="59"/>
      <c r="J748" s="59"/>
      <c r="K748" s="59"/>
      <c r="L748" s="59"/>
      <c r="M748" s="59"/>
      <c r="N748" s="21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10"/>
      <c r="AA748" s="74"/>
      <c r="AB748" s="59"/>
      <c r="AC748" s="9"/>
    </row>
    <row r="749">
      <c r="A749" s="9"/>
      <c r="B749" s="19"/>
      <c r="C749" s="9"/>
      <c r="D749" s="9"/>
      <c r="E749" s="59"/>
      <c r="F749" s="9"/>
      <c r="G749" s="9"/>
      <c r="H749" s="59"/>
      <c r="I749" s="59"/>
      <c r="J749" s="59"/>
      <c r="K749" s="59"/>
      <c r="L749" s="59"/>
      <c r="M749" s="59"/>
      <c r="N749" s="21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10"/>
      <c r="AA749" s="74"/>
      <c r="AB749" s="59"/>
      <c r="AC749" s="9"/>
    </row>
    <row r="750">
      <c r="A750" s="9"/>
      <c r="B750" s="19"/>
      <c r="C750" s="9"/>
      <c r="D750" s="9"/>
      <c r="E750" s="59"/>
      <c r="F750" s="9"/>
      <c r="G750" s="9"/>
      <c r="H750" s="59"/>
      <c r="I750" s="59"/>
      <c r="J750" s="59"/>
      <c r="K750" s="59"/>
      <c r="L750" s="59"/>
      <c r="M750" s="59"/>
      <c r="N750" s="21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10"/>
      <c r="AA750" s="74"/>
      <c r="AB750" s="59"/>
      <c r="AC750" s="9"/>
    </row>
    <row r="751">
      <c r="A751" s="9"/>
      <c r="B751" s="19"/>
      <c r="C751" s="9"/>
      <c r="D751" s="9"/>
      <c r="E751" s="59"/>
      <c r="F751" s="9"/>
      <c r="G751" s="9"/>
      <c r="H751" s="59"/>
      <c r="I751" s="59"/>
      <c r="J751" s="59"/>
      <c r="K751" s="59"/>
      <c r="L751" s="59"/>
      <c r="M751" s="59"/>
      <c r="N751" s="21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10"/>
      <c r="AA751" s="74"/>
      <c r="AB751" s="59"/>
      <c r="AC751" s="9"/>
    </row>
    <row r="752">
      <c r="A752" s="9"/>
      <c r="B752" s="19"/>
      <c r="C752" s="9"/>
      <c r="D752" s="9"/>
      <c r="E752" s="59"/>
      <c r="F752" s="9"/>
      <c r="G752" s="9"/>
      <c r="H752" s="59"/>
      <c r="I752" s="59"/>
      <c r="J752" s="59"/>
      <c r="K752" s="59"/>
      <c r="L752" s="59"/>
      <c r="M752" s="59"/>
      <c r="N752" s="21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10"/>
      <c r="AA752" s="74"/>
      <c r="AB752" s="59"/>
      <c r="AC752" s="9"/>
    </row>
    <row r="753">
      <c r="A753" s="9"/>
      <c r="B753" s="19"/>
      <c r="C753" s="9"/>
      <c r="D753" s="9"/>
      <c r="E753" s="59"/>
      <c r="F753" s="9"/>
      <c r="G753" s="9"/>
      <c r="H753" s="59"/>
      <c r="I753" s="59"/>
      <c r="J753" s="59"/>
      <c r="K753" s="59"/>
      <c r="L753" s="59"/>
      <c r="M753" s="59"/>
      <c r="N753" s="21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10"/>
      <c r="AA753" s="74"/>
      <c r="AB753" s="59"/>
      <c r="AC753" s="9"/>
    </row>
    <row r="754">
      <c r="A754" s="9"/>
      <c r="B754" s="19"/>
      <c r="C754" s="9"/>
      <c r="D754" s="9"/>
      <c r="E754" s="59"/>
      <c r="F754" s="9"/>
      <c r="G754" s="9"/>
      <c r="H754" s="59"/>
      <c r="I754" s="59"/>
      <c r="J754" s="59"/>
      <c r="K754" s="59"/>
      <c r="L754" s="59"/>
      <c r="M754" s="59"/>
      <c r="N754" s="21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10"/>
      <c r="AA754" s="74"/>
      <c r="AB754" s="59"/>
      <c r="AC754" s="9"/>
    </row>
    <row r="755">
      <c r="A755" s="9"/>
      <c r="B755" s="19"/>
      <c r="C755" s="9"/>
      <c r="D755" s="9"/>
      <c r="E755" s="59"/>
      <c r="F755" s="9"/>
      <c r="G755" s="9"/>
      <c r="H755" s="59"/>
      <c r="I755" s="59"/>
      <c r="J755" s="59"/>
      <c r="K755" s="59"/>
      <c r="L755" s="59"/>
      <c r="M755" s="59"/>
      <c r="N755" s="21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10"/>
      <c r="AA755" s="74"/>
      <c r="AB755" s="59"/>
      <c r="AC755" s="9"/>
    </row>
    <row r="756">
      <c r="A756" s="9"/>
      <c r="B756" s="19"/>
      <c r="C756" s="9"/>
      <c r="D756" s="9"/>
      <c r="E756" s="59"/>
      <c r="F756" s="9"/>
      <c r="G756" s="9"/>
      <c r="H756" s="59"/>
      <c r="I756" s="59"/>
      <c r="J756" s="59"/>
      <c r="K756" s="59"/>
      <c r="L756" s="59"/>
      <c r="M756" s="59"/>
      <c r="N756" s="21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10"/>
      <c r="AA756" s="74"/>
      <c r="AB756" s="59"/>
      <c r="AC756" s="9"/>
    </row>
    <row r="757">
      <c r="A757" s="9"/>
      <c r="B757" s="19"/>
      <c r="C757" s="9"/>
      <c r="D757" s="9"/>
      <c r="E757" s="59"/>
      <c r="F757" s="9"/>
      <c r="G757" s="9"/>
      <c r="H757" s="59"/>
      <c r="I757" s="59"/>
      <c r="J757" s="59"/>
      <c r="K757" s="59"/>
      <c r="L757" s="59"/>
      <c r="M757" s="59"/>
      <c r="N757" s="21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10"/>
      <c r="AA757" s="74"/>
      <c r="AB757" s="59"/>
      <c r="AC757" s="9"/>
    </row>
    <row r="758">
      <c r="A758" s="9"/>
      <c r="B758" s="19"/>
      <c r="C758" s="9"/>
      <c r="D758" s="9"/>
      <c r="E758" s="59"/>
      <c r="F758" s="9"/>
      <c r="G758" s="9"/>
      <c r="H758" s="59"/>
      <c r="I758" s="59"/>
      <c r="J758" s="59"/>
      <c r="K758" s="59"/>
      <c r="L758" s="59"/>
      <c r="M758" s="59"/>
      <c r="N758" s="21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10"/>
      <c r="AA758" s="74"/>
      <c r="AB758" s="59"/>
      <c r="AC758" s="9"/>
    </row>
    <row r="759">
      <c r="A759" s="9"/>
      <c r="B759" s="19"/>
      <c r="C759" s="9"/>
      <c r="D759" s="9"/>
      <c r="E759" s="59"/>
      <c r="F759" s="9"/>
      <c r="G759" s="9"/>
      <c r="H759" s="59"/>
      <c r="I759" s="59"/>
      <c r="J759" s="59"/>
      <c r="K759" s="59"/>
      <c r="L759" s="59"/>
      <c r="M759" s="59"/>
      <c r="N759" s="21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10"/>
      <c r="AA759" s="74"/>
      <c r="AB759" s="59"/>
      <c r="AC759" s="9"/>
    </row>
    <row r="760">
      <c r="A760" s="9"/>
      <c r="B760" s="19"/>
      <c r="C760" s="9"/>
      <c r="D760" s="9"/>
      <c r="E760" s="59"/>
      <c r="F760" s="9"/>
      <c r="G760" s="9"/>
      <c r="H760" s="59"/>
      <c r="I760" s="59"/>
      <c r="J760" s="59"/>
      <c r="K760" s="59"/>
      <c r="L760" s="59"/>
      <c r="M760" s="59"/>
      <c r="N760" s="21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10"/>
      <c r="AA760" s="74"/>
      <c r="AB760" s="59"/>
      <c r="AC760" s="9"/>
    </row>
    <row r="761">
      <c r="A761" s="9"/>
      <c r="B761" s="19"/>
      <c r="C761" s="9"/>
      <c r="D761" s="9"/>
      <c r="E761" s="59"/>
      <c r="F761" s="9"/>
      <c r="G761" s="9"/>
      <c r="H761" s="59"/>
      <c r="I761" s="59"/>
      <c r="J761" s="59"/>
      <c r="K761" s="59"/>
      <c r="L761" s="59"/>
      <c r="M761" s="59"/>
      <c r="N761" s="21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10"/>
      <c r="AA761" s="74"/>
      <c r="AB761" s="59"/>
      <c r="AC761" s="9"/>
    </row>
    <row r="762">
      <c r="A762" s="9"/>
      <c r="B762" s="19"/>
      <c r="C762" s="9"/>
      <c r="D762" s="9"/>
      <c r="E762" s="59"/>
      <c r="F762" s="9"/>
      <c r="G762" s="9"/>
      <c r="H762" s="59"/>
      <c r="I762" s="59"/>
      <c r="J762" s="59"/>
      <c r="K762" s="59"/>
      <c r="L762" s="59"/>
      <c r="M762" s="59"/>
      <c r="N762" s="21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10"/>
      <c r="AA762" s="74"/>
      <c r="AB762" s="59"/>
      <c r="AC762" s="9"/>
    </row>
    <row r="763">
      <c r="A763" s="9"/>
      <c r="B763" s="19"/>
      <c r="C763" s="9"/>
      <c r="D763" s="9"/>
      <c r="E763" s="59"/>
      <c r="F763" s="9"/>
      <c r="G763" s="9"/>
      <c r="H763" s="59"/>
      <c r="I763" s="59"/>
      <c r="J763" s="59"/>
      <c r="K763" s="59"/>
      <c r="L763" s="59"/>
      <c r="M763" s="59"/>
      <c r="N763" s="21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10"/>
      <c r="AA763" s="74"/>
      <c r="AB763" s="59"/>
      <c r="AC763" s="9"/>
    </row>
    <row r="764">
      <c r="A764" s="9"/>
      <c r="B764" s="19"/>
      <c r="C764" s="9"/>
      <c r="D764" s="9"/>
      <c r="E764" s="59"/>
      <c r="F764" s="9"/>
      <c r="G764" s="9"/>
      <c r="H764" s="59"/>
      <c r="I764" s="59"/>
      <c r="J764" s="59"/>
      <c r="K764" s="59"/>
      <c r="L764" s="59"/>
      <c r="M764" s="59"/>
      <c r="N764" s="21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10"/>
      <c r="AA764" s="74"/>
      <c r="AB764" s="59"/>
      <c r="AC764" s="9"/>
    </row>
    <row r="765">
      <c r="A765" s="9"/>
      <c r="B765" s="19"/>
      <c r="C765" s="9"/>
      <c r="D765" s="9"/>
      <c r="E765" s="59"/>
      <c r="F765" s="9"/>
      <c r="G765" s="9"/>
      <c r="H765" s="59"/>
      <c r="I765" s="59"/>
      <c r="J765" s="59"/>
      <c r="K765" s="59"/>
      <c r="L765" s="59"/>
      <c r="M765" s="59"/>
      <c r="N765" s="21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10"/>
      <c r="AA765" s="74"/>
      <c r="AB765" s="59"/>
      <c r="AC765" s="9"/>
    </row>
    <row r="766">
      <c r="A766" s="9"/>
      <c r="B766" s="19"/>
      <c r="C766" s="9"/>
      <c r="D766" s="9"/>
      <c r="E766" s="59"/>
      <c r="F766" s="9"/>
      <c r="G766" s="9"/>
      <c r="H766" s="59"/>
      <c r="I766" s="59"/>
      <c r="J766" s="59"/>
      <c r="K766" s="59"/>
      <c r="L766" s="59"/>
      <c r="M766" s="59"/>
      <c r="N766" s="21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10"/>
      <c r="AA766" s="74"/>
      <c r="AB766" s="59"/>
      <c r="AC766" s="9"/>
    </row>
    <row r="767">
      <c r="A767" s="9"/>
      <c r="B767" s="19"/>
      <c r="C767" s="9"/>
      <c r="D767" s="9"/>
      <c r="E767" s="59"/>
      <c r="F767" s="9"/>
      <c r="G767" s="9"/>
      <c r="H767" s="59"/>
      <c r="I767" s="59"/>
      <c r="J767" s="59"/>
      <c r="K767" s="59"/>
      <c r="L767" s="59"/>
      <c r="M767" s="59"/>
      <c r="N767" s="21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10"/>
      <c r="AA767" s="74"/>
      <c r="AB767" s="59"/>
      <c r="AC767" s="9"/>
    </row>
    <row r="768">
      <c r="A768" s="9"/>
      <c r="B768" s="19"/>
      <c r="C768" s="9"/>
      <c r="D768" s="9"/>
      <c r="E768" s="59"/>
      <c r="F768" s="9"/>
      <c r="G768" s="9"/>
      <c r="H768" s="59"/>
      <c r="I768" s="59"/>
      <c r="J768" s="59"/>
      <c r="K768" s="59"/>
      <c r="L768" s="59"/>
      <c r="M768" s="59"/>
      <c r="N768" s="21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10"/>
      <c r="AA768" s="74"/>
      <c r="AB768" s="59"/>
      <c r="AC768" s="9"/>
    </row>
    <row r="769">
      <c r="A769" s="9"/>
      <c r="B769" s="19"/>
      <c r="C769" s="9"/>
      <c r="D769" s="9"/>
      <c r="E769" s="59"/>
      <c r="F769" s="9"/>
      <c r="G769" s="9"/>
      <c r="H769" s="59"/>
      <c r="I769" s="59"/>
      <c r="J769" s="59"/>
      <c r="K769" s="59"/>
      <c r="L769" s="59"/>
      <c r="M769" s="59"/>
      <c r="N769" s="21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10"/>
      <c r="AA769" s="74"/>
      <c r="AB769" s="59"/>
      <c r="AC769" s="9"/>
    </row>
    <row r="770">
      <c r="A770" s="9"/>
      <c r="B770" s="19"/>
      <c r="C770" s="9"/>
      <c r="D770" s="9"/>
      <c r="E770" s="59"/>
      <c r="F770" s="9"/>
      <c r="G770" s="9"/>
      <c r="H770" s="59"/>
      <c r="I770" s="59"/>
      <c r="J770" s="59"/>
      <c r="K770" s="59"/>
      <c r="L770" s="59"/>
      <c r="M770" s="59"/>
      <c r="N770" s="21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10"/>
      <c r="AA770" s="74"/>
      <c r="AB770" s="59"/>
      <c r="AC770" s="9"/>
    </row>
    <row r="771">
      <c r="A771" s="9"/>
      <c r="B771" s="19"/>
      <c r="C771" s="9"/>
      <c r="D771" s="9"/>
      <c r="E771" s="59"/>
      <c r="F771" s="9"/>
      <c r="G771" s="9"/>
      <c r="H771" s="59"/>
      <c r="I771" s="59"/>
      <c r="J771" s="59"/>
      <c r="K771" s="59"/>
      <c r="L771" s="59"/>
      <c r="M771" s="59"/>
      <c r="N771" s="21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10"/>
      <c r="AA771" s="74"/>
      <c r="AB771" s="59"/>
      <c r="AC771" s="9"/>
    </row>
    <row r="772">
      <c r="A772" s="9"/>
      <c r="B772" s="19"/>
      <c r="C772" s="9"/>
      <c r="D772" s="9"/>
      <c r="E772" s="59"/>
      <c r="F772" s="9"/>
      <c r="G772" s="9"/>
      <c r="H772" s="59"/>
      <c r="I772" s="59"/>
      <c r="J772" s="59"/>
      <c r="K772" s="59"/>
      <c r="L772" s="59"/>
      <c r="M772" s="59"/>
      <c r="N772" s="21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10"/>
      <c r="AA772" s="74"/>
      <c r="AB772" s="59"/>
      <c r="AC772" s="9"/>
    </row>
    <row r="773">
      <c r="A773" s="9"/>
      <c r="B773" s="19"/>
      <c r="C773" s="9"/>
      <c r="D773" s="9"/>
      <c r="E773" s="59"/>
      <c r="F773" s="9"/>
      <c r="G773" s="9"/>
      <c r="H773" s="59"/>
      <c r="I773" s="59"/>
      <c r="J773" s="59"/>
      <c r="K773" s="59"/>
      <c r="L773" s="59"/>
      <c r="M773" s="59"/>
      <c r="N773" s="21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10"/>
      <c r="AA773" s="74"/>
      <c r="AB773" s="59"/>
      <c r="AC773" s="9"/>
    </row>
    <row r="774">
      <c r="A774" s="9"/>
      <c r="B774" s="19"/>
      <c r="C774" s="9"/>
      <c r="D774" s="9"/>
      <c r="E774" s="59"/>
      <c r="F774" s="9"/>
      <c r="G774" s="9"/>
      <c r="H774" s="59"/>
      <c r="I774" s="59"/>
      <c r="J774" s="59"/>
      <c r="K774" s="59"/>
      <c r="L774" s="59"/>
      <c r="M774" s="59"/>
      <c r="N774" s="21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10"/>
      <c r="AA774" s="74"/>
      <c r="AB774" s="59"/>
      <c r="AC774" s="9"/>
    </row>
    <row r="775">
      <c r="A775" s="9"/>
      <c r="B775" s="19"/>
      <c r="C775" s="9"/>
      <c r="D775" s="9"/>
      <c r="E775" s="59"/>
      <c r="F775" s="9"/>
      <c r="G775" s="9"/>
      <c r="H775" s="59"/>
      <c r="I775" s="59"/>
      <c r="J775" s="59"/>
      <c r="K775" s="59"/>
      <c r="L775" s="59"/>
      <c r="M775" s="59"/>
      <c r="N775" s="21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10"/>
      <c r="AA775" s="74"/>
      <c r="AB775" s="59"/>
      <c r="AC775" s="9"/>
    </row>
    <row r="776">
      <c r="A776" s="9"/>
      <c r="B776" s="19"/>
      <c r="C776" s="9"/>
      <c r="D776" s="9"/>
      <c r="E776" s="59"/>
      <c r="F776" s="9"/>
      <c r="G776" s="9"/>
      <c r="H776" s="59"/>
      <c r="I776" s="59"/>
      <c r="J776" s="59"/>
      <c r="K776" s="59"/>
      <c r="L776" s="59"/>
      <c r="M776" s="59"/>
      <c r="N776" s="21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10"/>
      <c r="AA776" s="74"/>
      <c r="AB776" s="59"/>
      <c r="AC776" s="9"/>
    </row>
    <row r="777">
      <c r="A777" s="9"/>
      <c r="B777" s="19"/>
      <c r="C777" s="9"/>
      <c r="D777" s="9"/>
      <c r="E777" s="59"/>
      <c r="F777" s="9"/>
      <c r="G777" s="9"/>
      <c r="H777" s="59"/>
      <c r="I777" s="59"/>
      <c r="J777" s="59"/>
      <c r="K777" s="59"/>
      <c r="L777" s="59"/>
      <c r="M777" s="59"/>
      <c r="N777" s="21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10"/>
      <c r="AA777" s="74"/>
      <c r="AB777" s="59"/>
      <c r="AC777" s="9"/>
    </row>
    <row r="778">
      <c r="A778" s="9"/>
      <c r="B778" s="19"/>
      <c r="C778" s="9"/>
      <c r="D778" s="9"/>
      <c r="E778" s="59"/>
      <c r="F778" s="9"/>
      <c r="G778" s="9"/>
      <c r="H778" s="59"/>
      <c r="I778" s="59"/>
      <c r="J778" s="59"/>
      <c r="K778" s="59"/>
      <c r="L778" s="59"/>
      <c r="M778" s="59"/>
      <c r="N778" s="21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10"/>
      <c r="AA778" s="74"/>
      <c r="AB778" s="59"/>
      <c r="AC778" s="9"/>
    </row>
    <row r="779">
      <c r="A779" s="9"/>
      <c r="B779" s="19"/>
      <c r="C779" s="9"/>
      <c r="D779" s="9"/>
      <c r="E779" s="59"/>
      <c r="F779" s="9"/>
      <c r="G779" s="9"/>
      <c r="H779" s="59"/>
      <c r="I779" s="59"/>
      <c r="J779" s="59"/>
      <c r="K779" s="59"/>
      <c r="L779" s="59"/>
      <c r="M779" s="59"/>
      <c r="N779" s="21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10"/>
      <c r="AA779" s="74"/>
      <c r="AB779" s="59"/>
      <c r="AC779" s="9"/>
    </row>
    <row r="780">
      <c r="A780" s="9"/>
      <c r="B780" s="19"/>
      <c r="C780" s="9"/>
      <c r="D780" s="9"/>
      <c r="E780" s="59"/>
      <c r="F780" s="9"/>
      <c r="G780" s="9"/>
      <c r="H780" s="59"/>
      <c r="I780" s="59"/>
      <c r="J780" s="59"/>
      <c r="K780" s="59"/>
      <c r="L780" s="59"/>
      <c r="M780" s="59"/>
      <c r="N780" s="21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10"/>
      <c r="AA780" s="74"/>
      <c r="AB780" s="59"/>
      <c r="AC780" s="9"/>
    </row>
    <row r="781">
      <c r="A781" s="9"/>
      <c r="B781" s="19"/>
      <c r="C781" s="9"/>
      <c r="D781" s="9"/>
      <c r="E781" s="59"/>
      <c r="F781" s="9"/>
      <c r="G781" s="9"/>
      <c r="H781" s="59"/>
      <c r="I781" s="59"/>
      <c r="J781" s="59"/>
      <c r="K781" s="59"/>
      <c r="L781" s="59"/>
      <c r="M781" s="59"/>
      <c r="N781" s="21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10"/>
      <c r="AA781" s="74"/>
      <c r="AB781" s="59"/>
      <c r="AC781" s="9"/>
    </row>
    <row r="782">
      <c r="A782" s="9"/>
      <c r="B782" s="19"/>
      <c r="C782" s="9"/>
      <c r="D782" s="9"/>
      <c r="E782" s="59"/>
      <c r="F782" s="9"/>
      <c r="G782" s="9"/>
      <c r="H782" s="59"/>
      <c r="I782" s="59"/>
      <c r="J782" s="59"/>
      <c r="K782" s="59"/>
      <c r="L782" s="59"/>
      <c r="M782" s="59"/>
      <c r="N782" s="21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10"/>
      <c r="AA782" s="74"/>
      <c r="AB782" s="59"/>
      <c r="AC782" s="9"/>
    </row>
    <row r="783">
      <c r="A783" s="9"/>
      <c r="B783" s="19"/>
      <c r="C783" s="9"/>
      <c r="D783" s="9"/>
      <c r="E783" s="59"/>
      <c r="F783" s="9"/>
      <c r="G783" s="9"/>
      <c r="H783" s="59"/>
      <c r="I783" s="59"/>
      <c r="J783" s="59"/>
      <c r="K783" s="59"/>
      <c r="L783" s="59"/>
      <c r="M783" s="59"/>
      <c r="N783" s="21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10"/>
      <c r="AA783" s="74"/>
      <c r="AB783" s="59"/>
      <c r="AC783" s="9"/>
    </row>
    <row r="784">
      <c r="A784" s="9"/>
      <c r="B784" s="19"/>
      <c r="C784" s="9"/>
      <c r="D784" s="9"/>
      <c r="E784" s="59"/>
      <c r="F784" s="9"/>
      <c r="G784" s="9"/>
      <c r="H784" s="59"/>
      <c r="I784" s="59"/>
      <c r="J784" s="59"/>
      <c r="K784" s="59"/>
      <c r="L784" s="59"/>
      <c r="M784" s="59"/>
      <c r="N784" s="21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10"/>
      <c r="AA784" s="74"/>
      <c r="AB784" s="59"/>
      <c r="AC784" s="9"/>
    </row>
    <row r="785">
      <c r="A785" s="9"/>
      <c r="B785" s="19"/>
      <c r="C785" s="9"/>
      <c r="D785" s="9"/>
      <c r="E785" s="59"/>
      <c r="F785" s="9"/>
      <c r="G785" s="9"/>
      <c r="H785" s="59"/>
      <c r="I785" s="59"/>
      <c r="J785" s="59"/>
      <c r="K785" s="59"/>
      <c r="L785" s="59"/>
      <c r="M785" s="59"/>
      <c r="N785" s="21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10"/>
      <c r="AA785" s="74"/>
      <c r="AB785" s="59"/>
      <c r="AC785" s="9"/>
    </row>
    <row r="786">
      <c r="A786" s="9"/>
      <c r="B786" s="19"/>
      <c r="C786" s="9"/>
      <c r="D786" s="9"/>
      <c r="E786" s="59"/>
      <c r="F786" s="9"/>
      <c r="G786" s="9"/>
      <c r="H786" s="59"/>
      <c r="I786" s="59"/>
      <c r="J786" s="59"/>
      <c r="K786" s="59"/>
      <c r="L786" s="59"/>
      <c r="M786" s="59"/>
      <c r="N786" s="21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10"/>
      <c r="AA786" s="74"/>
      <c r="AB786" s="59"/>
      <c r="AC786" s="9"/>
    </row>
    <row r="787">
      <c r="A787" s="9"/>
      <c r="B787" s="19"/>
      <c r="C787" s="9"/>
      <c r="D787" s="9"/>
      <c r="E787" s="59"/>
      <c r="F787" s="9"/>
      <c r="G787" s="9"/>
      <c r="H787" s="59"/>
      <c r="I787" s="59"/>
      <c r="J787" s="59"/>
      <c r="K787" s="59"/>
      <c r="L787" s="59"/>
      <c r="M787" s="59"/>
      <c r="N787" s="21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10"/>
      <c r="AA787" s="74"/>
      <c r="AB787" s="59"/>
      <c r="AC787" s="9"/>
    </row>
    <row r="788">
      <c r="A788" s="9"/>
      <c r="B788" s="19"/>
      <c r="C788" s="9"/>
      <c r="D788" s="9"/>
      <c r="E788" s="59"/>
      <c r="F788" s="9"/>
      <c r="G788" s="9"/>
      <c r="H788" s="59"/>
      <c r="I788" s="59"/>
      <c r="J788" s="59"/>
      <c r="K788" s="59"/>
      <c r="L788" s="59"/>
      <c r="M788" s="59"/>
      <c r="N788" s="21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10"/>
      <c r="AA788" s="74"/>
      <c r="AB788" s="59"/>
      <c r="AC788" s="9"/>
    </row>
    <row r="789">
      <c r="A789" s="9"/>
      <c r="B789" s="19"/>
      <c r="C789" s="9"/>
      <c r="D789" s="9"/>
      <c r="E789" s="59"/>
      <c r="F789" s="9"/>
      <c r="G789" s="9"/>
      <c r="H789" s="59"/>
      <c r="I789" s="59"/>
      <c r="J789" s="59"/>
      <c r="K789" s="59"/>
      <c r="L789" s="59"/>
      <c r="M789" s="59"/>
      <c r="N789" s="21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10"/>
      <c r="AA789" s="74"/>
      <c r="AB789" s="59"/>
      <c r="AC789" s="9"/>
    </row>
    <row r="790">
      <c r="A790" s="9"/>
      <c r="B790" s="19"/>
      <c r="C790" s="9"/>
      <c r="D790" s="9"/>
      <c r="E790" s="59"/>
      <c r="F790" s="9"/>
      <c r="G790" s="9"/>
      <c r="H790" s="59"/>
      <c r="I790" s="59"/>
      <c r="J790" s="59"/>
      <c r="K790" s="59"/>
      <c r="L790" s="59"/>
      <c r="M790" s="59"/>
      <c r="N790" s="21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10"/>
      <c r="AA790" s="74"/>
      <c r="AB790" s="59"/>
      <c r="AC790" s="9"/>
    </row>
    <row r="791">
      <c r="A791" s="9"/>
      <c r="B791" s="19"/>
      <c r="C791" s="9"/>
      <c r="D791" s="9"/>
      <c r="E791" s="59"/>
      <c r="F791" s="9"/>
      <c r="G791" s="9"/>
      <c r="H791" s="59"/>
      <c r="I791" s="59"/>
      <c r="J791" s="59"/>
      <c r="K791" s="59"/>
      <c r="L791" s="59"/>
      <c r="M791" s="59"/>
      <c r="N791" s="21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10"/>
      <c r="AA791" s="74"/>
      <c r="AB791" s="59"/>
      <c r="AC791" s="9"/>
    </row>
    <row r="792">
      <c r="A792" s="9"/>
      <c r="B792" s="19"/>
      <c r="C792" s="9"/>
      <c r="D792" s="9"/>
      <c r="E792" s="59"/>
      <c r="F792" s="9"/>
      <c r="G792" s="9"/>
      <c r="H792" s="59"/>
      <c r="I792" s="59"/>
      <c r="J792" s="59"/>
      <c r="K792" s="59"/>
      <c r="L792" s="59"/>
      <c r="M792" s="59"/>
      <c r="N792" s="21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10"/>
      <c r="AA792" s="74"/>
      <c r="AB792" s="59"/>
      <c r="AC792" s="9"/>
    </row>
    <row r="793">
      <c r="A793" s="9"/>
      <c r="B793" s="19"/>
      <c r="C793" s="9"/>
      <c r="D793" s="9"/>
      <c r="E793" s="59"/>
      <c r="F793" s="9"/>
      <c r="G793" s="9"/>
      <c r="H793" s="59"/>
      <c r="I793" s="59"/>
      <c r="J793" s="59"/>
      <c r="K793" s="59"/>
      <c r="L793" s="59"/>
      <c r="M793" s="59"/>
      <c r="N793" s="21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10"/>
      <c r="AA793" s="74"/>
      <c r="AB793" s="59"/>
      <c r="AC793" s="9"/>
    </row>
    <row r="794">
      <c r="A794" s="9"/>
      <c r="B794" s="19"/>
      <c r="C794" s="9"/>
      <c r="D794" s="9"/>
      <c r="E794" s="59"/>
      <c r="F794" s="9"/>
      <c r="G794" s="9"/>
      <c r="H794" s="59"/>
      <c r="I794" s="59"/>
      <c r="J794" s="59"/>
      <c r="K794" s="59"/>
      <c r="L794" s="59"/>
      <c r="M794" s="59"/>
      <c r="N794" s="21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10"/>
      <c r="AA794" s="74"/>
      <c r="AB794" s="59"/>
      <c r="AC794" s="9"/>
    </row>
    <row r="795">
      <c r="A795" s="9"/>
      <c r="B795" s="19"/>
      <c r="C795" s="9"/>
      <c r="D795" s="9"/>
      <c r="E795" s="59"/>
      <c r="F795" s="9"/>
      <c r="G795" s="9"/>
      <c r="H795" s="59"/>
      <c r="I795" s="59"/>
      <c r="J795" s="59"/>
      <c r="K795" s="59"/>
      <c r="L795" s="59"/>
      <c r="M795" s="59"/>
      <c r="N795" s="21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10"/>
      <c r="AA795" s="74"/>
      <c r="AB795" s="59"/>
      <c r="AC795" s="9"/>
    </row>
    <row r="796">
      <c r="A796" s="9"/>
      <c r="B796" s="19"/>
      <c r="C796" s="9"/>
      <c r="D796" s="9"/>
      <c r="E796" s="59"/>
      <c r="F796" s="9"/>
      <c r="G796" s="9"/>
      <c r="H796" s="59"/>
      <c r="I796" s="59"/>
      <c r="J796" s="59"/>
      <c r="K796" s="59"/>
      <c r="L796" s="59"/>
      <c r="M796" s="59"/>
      <c r="N796" s="21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10"/>
      <c r="AA796" s="74"/>
      <c r="AB796" s="59"/>
      <c r="AC796" s="9"/>
    </row>
    <row r="797">
      <c r="A797" s="9"/>
      <c r="B797" s="19"/>
      <c r="C797" s="9"/>
      <c r="D797" s="9"/>
      <c r="E797" s="59"/>
      <c r="F797" s="9"/>
      <c r="G797" s="9"/>
      <c r="H797" s="59"/>
      <c r="I797" s="59"/>
      <c r="J797" s="59"/>
      <c r="K797" s="59"/>
      <c r="L797" s="59"/>
      <c r="M797" s="59"/>
      <c r="N797" s="21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10"/>
      <c r="AA797" s="74"/>
      <c r="AB797" s="59"/>
      <c r="AC797" s="9"/>
    </row>
    <row r="798">
      <c r="A798" s="9"/>
      <c r="B798" s="19"/>
      <c r="C798" s="9"/>
      <c r="D798" s="9"/>
      <c r="E798" s="59"/>
      <c r="F798" s="9"/>
      <c r="G798" s="9"/>
      <c r="H798" s="59"/>
      <c r="I798" s="59"/>
      <c r="J798" s="59"/>
      <c r="K798" s="59"/>
      <c r="L798" s="59"/>
      <c r="M798" s="59"/>
      <c r="N798" s="21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10"/>
      <c r="AA798" s="74"/>
      <c r="AB798" s="59"/>
      <c r="AC798" s="9"/>
    </row>
    <row r="799">
      <c r="A799" s="9"/>
      <c r="B799" s="19"/>
      <c r="C799" s="9"/>
      <c r="D799" s="9"/>
      <c r="E799" s="59"/>
      <c r="F799" s="9"/>
      <c r="G799" s="9"/>
      <c r="H799" s="59"/>
      <c r="I799" s="59"/>
      <c r="J799" s="59"/>
      <c r="K799" s="59"/>
      <c r="L799" s="59"/>
      <c r="M799" s="59"/>
      <c r="N799" s="21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10"/>
      <c r="AA799" s="74"/>
      <c r="AB799" s="59"/>
      <c r="AC799" s="9"/>
    </row>
    <row r="800">
      <c r="A800" s="9"/>
      <c r="B800" s="19"/>
      <c r="C800" s="9"/>
      <c r="D800" s="9"/>
      <c r="E800" s="59"/>
      <c r="F800" s="9"/>
      <c r="G800" s="9"/>
      <c r="H800" s="59"/>
      <c r="I800" s="59"/>
      <c r="J800" s="59"/>
      <c r="K800" s="59"/>
      <c r="L800" s="59"/>
      <c r="M800" s="59"/>
      <c r="N800" s="21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10"/>
      <c r="AA800" s="74"/>
      <c r="AB800" s="59"/>
      <c r="AC800" s="9"/>
    </row>
    <row r="801">
      <c r="A801" s="9"/>
      <c r="B801" s="19"/>
      <c r="C801" s="9"/>
      <c r="D801" s="9"/>
      <c r="E801" s="59"/>
      <c r="F801" s="9"/>
      <c r="G801" s="9"/>
      <c r="H801" s="59"/>
      <c r="I801" s="59"/>
      <c r="J801" s="59"/>
      <c r="K801" s="59"/>
      <c r="L801" s="59"/>
      <c r="M801" s="59"/>
      <c r="N801" s="21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10"/>
      <c r="AA801" s="74"/>
      <c r="AB801" s="59"/>
      <c r="AC801" s="9"/>
    </row>
    <row r="802">
      <c r="A802" s="9"/>
      <c r="B802" s="19"/>
      <c r="C802" s="9"/>
      <c r="D802" s="9"/>
      <c r="E802" s="59"/>
      <c r="F802" s="9"/>
      <c r="G802" s="9"/>
      <c r="H802" s="59"/>
      <c r="I802" s="59"/>
      <c r="J802" s="59"/>
      <c r="K802" s="59"/>
      <c r="L802" s="59"/>
      <c r="M802" s="59"/>
      <c r="N802" s="21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10"/>
      <c r="AA802" s="74"/>
      <c r="AB802" s="59"/>
      <c r="AC802" s="9"/>
    </row>
    <row r="803">
      <c r="A803" s="9"/>
      <c r="B803" s="19"/>
      <c r="C803" s="9"/>
      <c r="D803" s="9"/>
      <c r="E803" s="59"/>
      <c r="F803" s="9"/>
      <c r="G803" s="9"/>
      <c r="H803" s="59"/>
      <c r="I803" s="59"/>
      <c r="J803" s="59"/>
      <c r="K803" s="59"/>
      <c r="L803" s="59"/>
      <c r="M803" s="59"/>
      <c r="N803" s="21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10"/>
      <c r="AA803" s="74"/>
      <c r="AB803" s="59"/>
      <c r="AC803" s="9"/>
    </row>
    <row r="804">
      <c r="A804" s="9"/>
      <c r="B804" s="19"/>
      <c r="C804" s="9"/>
      <c r="D804" s="9"/>
      <c r="E804" s="59"/>
      <c r="F804" s="9"/>
      <c r="G804" s="9"/>
      <c r="H804" s="59"/>
      <c r="I804" s="59"/>
      <c r="J804" s="59"/>
      <c r="K804" s="59"/>
      <c r="L804" s="59"/>
      <c r="M804" s="59"/>
      <c r="N804" s="21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10"/>
      <c r="AA804" s="74"/>
      <c r="AB804" s="59"/>
      <c r="AC804" s="9"/>
    </row>
    <row r="805">
      <c r="A805" s="9"/>
      <c r="B805" s="19"/>
      <c r="C805" s="9"/>
      <c r="D805" s="9"/>
      <c r="E805" s="59"/>
      <c r="F805" s="9"/>
      <c r="G805" s="9"/>
      <c r="H805" s="59"/>
      <c r="I805" s="59"/>
      <c r="J805" s="59"/>
      <c r="K805" s="59"/>
      <c r="L805" s="59"/>
      <c r="M805" s="59"/>
      <c r="N805" s="21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10"/>
      <c r="AA805" s="74"/>
      <c r="AB805" s="59"/>
      <c r="AC805" s="9"/>
    </row>
    <row r="806">
      <c r="A806" s="9"/>
      <c r="B806" s="19"/>
      <c r="C806" s="9"/>
      <c r="D806" s="9"/>
      <c r="E806" s="59"/>
      <c r="F806" s="9"/>
      <c r="G806" s="9"/>
      <c r="H806" s="59"/>
      <c r="I806" s="59"/>
      <c r="J806" s="59"/>
      <c r="K806" s="59"/>
      <c r="L806" s="59"/>
      <c r="M806" s="59"/>
      <c r="N806" s="21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10"/>
      <c r="AA806" s="74"/>
      <c r="AB806" s="59"/>
      <c r="AC806" s="9"/>
    </row>
    <row r="807">
      <c r="A807" s="9"/>
      <c r="B807" s="19"/>
      <c r="C807" s="9"/>
      <c r="D807" s="9"/>
      <c r="E807" s="59"/>
      <c r="F807" s="9"/>
      <c r="G807" s="9"/>
      <c r="H807" s="59"/>
      <c r="I807" s="59"/>
      <c r="J807" s="59"/>
      <c r="K807" s="59"/>
      <c r="L807" s="59"/>
      <c r="M807" s="59"/>
      <c r="N807" s="21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10"/>
      <c r="AA807" s="74"/>
      <c r="AB807" s="59"/>
      <c r="AC807" s="9"/>
    </row>
    <row r="808">
      <c r="A808" s="9"/>
      <c r="B808" s="19"/>
      <c r="C808" s="9"/>
      <c r="D808" s="9"/>
      <c r="E808" s="59"/>
      <c r="F808" s="9"/>
      <c r="G808" s="9"/>
      <c r="H808" s="59"/>
      <c r="I808" s="59"/>
      <c r="J808" s="59"/>
      <c r="K808" s="59"/>
      <c r="L808" s="59"/>
      <c r="M808" s="59"/>
      <c r="N808" s="21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10"/>
      <c r="AA808" s="74"/>
      <c r="AB808" s="59"/>
      <c r="AC808" s="9"/>
    </row>
    <row r="809">
      <c r="A809" s="9"/>
      <c r="B809" s="19"/>
      <c r="C809" s="9"/>
      <c r="D809" s="9"/>
      <c r="E809" s="59"/>
      <c r="F809" s="9"/>
      <c r="G809" s="9"/>
      <c r="H809" s="59"/>
      <c r="I809" s="59"/>
      <c r="J809" s="59"/>
      <c r="K809" s="59"/>
      <c r="L809" s="59"/>
      <c r="M809" s="59"/>
      <c r="N809" s="21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10"/>
      <c r="AA809" s="74"/>
      <c r="AB809" s="59"/>
      <c r="AC809" s="9"/>
    </row>
    <row r="810">
      <c r="A810" s="9"/>
      <c r="B810" s="19"/>
      <c r="C810" s="9"/>
      <c r="D810" s="9"/>
      <c r="E810" s="59"/>
      <c r="F810" s="9"/>
      <c r="G810" s="9"/>
      <c r="H810" s="59"/>
      <c r="I810" s="59"/>
      <c r="J810" s="59"/>
      <c r="K810" s="59"/>
      <c r="L810" s="59"/>
      <c r="M810" s="59"/>
      <c r="N810" s="21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10"/>
      <c r="AA810" s="74"/>
      <c r="AB810" s="59"/>
      <c r="AC810" s="9"/>
    </row>
    <row r="811">
      <c r="A811" s="9"/>
      <c r="B811" s="19"/>
      <c r="C811" s="9"/>
      <c r="D811" s="9"/>
      <c r="E811" s="59"/>
      <c r="F811" s="9"/>
      <c r="G811" s="9"/>
      <c r="H811" s="59"/>
      <c r="I811" s="59"/>
      <c r="J811" s="59"/>
      <c r="K811" s="59"/>
      <c r="L811" s="59"/>
      <c r="M811" s="59"/>
      <c r="N811" s="21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10"/>
      <c r="AA811" s="74"/>
      <c r="AB811" s="59"/>
      <c r="AC811" s="9"/>
    </row>
    <row r="812">
      <c r="A812" s="9"/>
      <c r="B812" s="19"/>
      <c r="C812" s="9"/>
      <c r="D812" s="9"/>
      <c r="E812" s="59"/>
      <c r="F812" s="9"/>
      <c r="G812" s="9"/>
      <c r="H812" s="59"/>
      <c r="I812" s="59"/>
      <c r="J812" s="59"/>
      <c r="K812" s="59"/>
      <c r="L812" s="59"/>
      <c r="M812" s="59"/>
      <c r="N812" s="21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10"/>
      <c r="AA812" s="74"/>
      <c r="AB812" s="59"/>
      <c r="AC812" s="9"/>
    </row>
    <row r="813">
      <c r="A813" s="9"/>
      <c r="B813" s="19"/>
      <c r="C813" s="9"/>
      <c r="D813" s="9"/>
      <c r="E813" s="59"/>
      <c r="F813" s="9"/>
      <c r="G813" s="9"/>
      <c r="H813" s="59"/>
      <c r="I813" s="59"/>
      <c r="J813" s="59"/>
      <c r="K813" s="59"/>
      <c r="L813" s="59"/>
      <c r="M813" s="59"/>
      <c r="N813" s="21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10"/>
      <c r="AA813" s="74"/>
      <c r="AB813" s="59"/>
      <c r="AC813" s="9"/>
    </row>
    <row r="814">
      <c r="A814" s="9"/>
      <c r="B814" s="19"/>
      <c r="C814" s="9"/>
      <c r="D814" s="9"/>
      <c r="E814" s="59"/>
      <c r="F814" s="9"/>
      <c r="G814" s="9"/>
      <c r="H814" s="59"/>
      <c r="I814" s="59"/>
      <c r="J814" s="59"/>
      <c r="K814" s="59"/>
      <c r="L814" s="59"/>
      <c r="M814" s="59"/>
      <c r="N814" s="21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10"/>
      <c r="AA814" s="74"/>
      <c r="AB814" s="59"/>
      <c r="AC814" s="9"/>
    </row>
    <row r="815">
      <c r="A815" s="9"/>
      <c r="B815" s="19"/>
      <c r="C815" s="9"/>
      <c r="D815" s="9"/>
      <c r="E815" s="59"/>
      <c r="F815" s="9"/>
      <c r="G815" s="9"/>
      <c r="H815" s="59"/>
      <c r="I815" s="59"/>
      <c r="J815" s="59"/>
      <c r="K815" s="59"/>
      <c r="L815" s="59"/>
      <c r="M815" s="59"/>
      <c r="N815" s="21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10"/>
      <c r="AA815" s="74"/>
      <c r="AB815" s="59"/>
      <c r="AC815" s="9"/>
    </row>
    <row r="816">
      <c r="A816" s="9"/>
      <c r="B816" s="19"/>
      <c r="C816" s="9"/>
      <c r="D816" s="9"/>
      <c r="E816" s="59"/>
      <c r="F816" s="9"/>
      <c r="G816" s="9"/>
      <c r="H816" s="59"/>
      <c r="I816" s="59"/>
      <c r="J816" s="59"/>
      <c r="K816" s="59"/>
      <c r="L816" s="59"/>
      <c r="M816" s="59"/>
      <c r="N816" s="21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10"/>
      <c r="AA816" s="74"/>
      <c r="AB816" s="59"/>
      <c r="AC816" s="9"/>
    </row>
    <row r="817">
      <c r="A817" s="9"/>
      <c r="B817" s="19"/>
      <c r="C817" s="9"/>
      <c r="D817" s="9"/>
      <c r="E817" s="59"/>
      <c r="F817" s="9"/>
      <c r="G817" s="9"/>
      <c r="H817" s="59"/>
      <c r="I817" s="59"/>
      <c r="J817" s="59"/>
      <c r="K817" s="59"/>
      <c r="L817" s="59"/>
      <c r="M817" s="59"/>
      <c r="N817" s="21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10"/>
      <c r="AA817" s="74"/>
      <c r="AB817" s="59"/>
      <c r="AC817" s="9"/>
    </row>
    <row r="818">
      <c r="A818" s="9"/>
      <c r="B818" s="19"/>
      <c r="C818" s="9"/>
      <c r="D818" s="9"/>
      <c r="E818" s="59"/>
      <c r="F818" s="9"/>
      <c r="G818" s="9"/>
      <c r="H818" s="59"/>
      <c r="I818" s="59"/>
      <c r="J818" s="59"/>
      <c r="K818" s="59"/>
      <c r="L818" s="59"/>
      <c r="M818" s="59"/>
      <c r="N818" s="21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10"/>
      <c r="AA818" s="74"/>
      <c r="AB818" s="59"/>
      <c r="AC818" s="9"/>
    </row>
    <row r="819">
      <c r="A819" s="9"/>
      <c r="B819" s="19"/>
      <c r="C819" s="9"/>
      <c r="D819" s="9"/>
      <c r="E819" s="59"/>
      <c r="F819" s="9"/>
      <c r="G819" s="9"/>
      <c r="H819" s="59"/>
      <c r="I819" s="59"/>
      <c r="J819" s="59"/>
      <c r="K819" s="59"/>
      <c r="L819" s="59"/>
      <c r="M819" s="59"/>
      <c r="N819" s="21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10"/>
      <c r="AA819" s="74"/>
      <c r="AB819" s="59"/>
      <c r="AC819" s="9"/>
    </row>
    <row r="820">
      <c r="A820" s="9"/>
      <c r="B820" s="19"/>
      <c r="C820" s="9"/>
      <c r="D820" s="9"/>
      <c r="E820" s="59"/>
      <c r="F820" s="9"/>
      <c r="G820" s="9"/>
      <c r="H820" s="59"/>
      <c r="I820" s="59"/>
      <c r="J820" s="59"/>
      <c r="K820" s="59"/>
      <c r="L820" s="59"/>
      <c r="M820" s="59"/>
      <c r="N820" s="21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10"/>
      <c r="AA820" s="74"/>
      <c r="AB820" s="59"/>
      <c r="AC820" s="9"/>
    </row>
    <row r="821">
      <c r="A821" s="9"/>
      <c r="B821" s="19"/>
      <c r="C821" s="9"/>
      <c r="D821" s="9"/>
      <c r="E821" s="59"/>
      <c r="F821" s="9"/>
      <c r="G821" s="9"/>
      <c r="H821" s="59"/>
      <c r="I821" s="59"/>
      <c r="J821" s="59"/>
      <c r="K821" s="59"/>
      <c r="L821" s="59"/>
      <c r="M821" s="59"/>
      <c r="N821" s="21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10"/>
      <c r="AA821" s="74"/>
      <c r="AB821" s="59"/>
      <c r="AC821" s="9"/>
    </row>
    <row r="822">
      <c r="A822" s="9"/>
      <c r="B822" s="19"/>
      <c r="C822" s="9"/>
      <c r="D822" s="9"/>
      <c r="E822" s="59"/>
      <c r="F822" s="9"/>
      <c r="G822" s="9"/>
      <c r="H822" s="59"/>
      <c r="I822" s="59"/>
      <c r="J822" s="59"/>
      <c r="K822" s="59"/>
      <c r="L822" s="59"/>
      <c r="M822" s="59"/>
      <c r="N822" s="21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10"/>
      <c r="AA822" s="74"/>
      <c r="AB822" s="59"/>
      <c r="AC822" s="9"/>
    </row>
    <row r="823">
      <c r="A823" s="9"/>
      <c r="B823" s="19"/>
      <c r="C823" s="9"/>
      <c r="D823" s="9"/>
      <c r="E823" s="59"/>
      <c r="F823" s="9"/>
      <c r="G823" s="9"/>
      <c r="H823" s="59"/>
      <c r="I823" s="59"/>
      <c r="J823" s="59"/>
      <c r="K823" s="59"/>
      <c r="L823" s="59"/>
      <c r="M823" s="59"/>
      <c r="N823" s="21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10"/>
      <c r="AA823" s="74"/>
      <c r="AB823" s="59"/>
      <c r="AC823" s="9"/>
    </row>
    <row r="824">
      <c r="A824" s="9"/>
      <c r="B824" s="19"/>
      <c r="C824" s="9"/>
      <c r="D824" s="9"/>
      <c r="E824" s="59"/>
      <c r="F824" s="9"/>
      <c r="G824" s="9"/>
      <c r="H824" s="59"/>
      <c r="I824" s="59"/>
      <c r="J824" s="59"/>
      <c r="K824" s="59"/>
      <c r="L824" s="59"/>
      <c r="M824" s="59"/>
      <c r="N824" s="21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10"/>
      <c r="AA824" s="74"/>
      <c r="AB824" s="59"/>
      <c r="AC824" s="9"/>
    </row>
    <row r="825">
      <c r="A825" s="9"/>
      <c r="B825" s="19"/>
      <c r="C825" s="9"/>
      <c r="D825" s="9"/>
      <c r="E825" s="59"/>
      <c r="F825" s="9"/>
      <c r="G825" s="9"/>
      <c r="H825" s="59"/>
      <c r="I825" s="59"/>
      <c r="J825" s="59"/>
      <c r="K825" s="59"/>
      <c r="L825" s="59"/>
      <c r="M825" s="59"/>
      <c r="N825" s="21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10"/>
      <c r="AA825" s="74"/>
      <c r="AB825" s="59"/>
      <c r="AC825" s="9"/>
    </row>
    <row r="826">
      <c r="A826" s="9"/>
      <c r="B826" s="19"/>
      <c r="C826" s="9"/>
      <c r="D826" s="9"/>
      <c r="E826" s="59"/>
      <c r="F826" s="9"/>
      <c r="G826" s="9"/>
      <c r="H826" s="59"/>
      <c r="I826" s="59"/>
      <c r="J826" s="59"/>
      <c r="K826" s="59"/>
      <c r="L826" s="59"/>
      <c r="M826" s="59"/>
      <c r="N826" s="21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10"/>
      <c r="AA826" s="74"/>
      <c r="AB826" s="59"/>
      <c r="AC826" s="9"/>
    </row>
    <row r="827">
      <c r="A827" s="9"/>
      <c r="B827" s="19"/>
      <c r="C827" s="9"/>
      <c r="D827" s="9"/>
      <c r="E827" s="59"/>
      <c r="F827" s="9"/>
      <c r="G827" s="9"/>
      <c r="H827" s="59"/>
      <c r="I827" s="59"/>
      <c r="J827" s="59"/>
      <c r="K827" s="59"/>
      <c r="L827" s="59"/>
      <c r="M827" s="59"/>
      <c r="N827" s="21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10"/>
      <c r="AA827" s="74"/>
      <c r="AB827" s="59"/>
      <c r="AC827" s="9"/>
    </row>
    <row r="828">
      <c r="A828" s="9"/>
      <c r="B828" s="19"/>
      <c r="C828" s="9"/>
      <c r="D828" s="9"/>
      <c r="E828" s="59"/>
      <c r="F828" s="9"/>
      <c r="G828" s="9"/>
      <c r="H828" s="59"/>
      <c r="I828" s="59"/>
      <c r="J828" s="59"/>
      <c r="K828" s="59"/>
      <c r="L828" s="59"/>
      <c r="M828" s="59"/>
      <c r="N828" s="21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10"/>
      <c r="AA828" s="74"/>
      <c r="AB828" s="59"/>
      <c r="AC828" s="9"/>
    </row>
    <row r="829">
      <c r="A829" s="9"/>
      <c r="B829" s="19"/>
      <c r="C829" s="9"/>
      <c r="D829" s="9"/>
      <c r="E829" s="59"/>
      <c r="F829" s="9"/>
      <c r="G829" s="9"/>
      <c r="H829" s="59"/>
      <c r="I829" s="59"/>
      <c r="J829" s="59"/>
      <c r="K829" s="59"/>
      <c r="L829" s="59"/>
      <c r="M829" s="59"/>
      <c r="N829" s="21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10"/>
      <c r="AA829" s="74"/>
      <c r="AB829" s="59"/>
      <c r="AC829" s="9"/>
    </row>
    <row r="830">
      <c r="A830" s="9"/>
      <c r="B830" s="19"/>
      <c r="C830" s="9"/>
      <c r="D830" s="9"/>
      <c r="E830" s="59"/>
      <c r="F830" s="9"/>
      <c r="G830" s="9"/>
      <c r="H830" s="59"/>
      <c r="I830" s="59"/>
      <c r="J830" s="59"/>
      <c r="K830" s="59"/>
      <c r="L830" s="59"/>
      <c r="M830" s="59"/>
      <c r="N830" s="21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10"/>
      <c r="AA830" s="74"/>
      <c r="AB830" s="59"/>
      <c r="AC830" s="9"/>
    </row>
    <row r="831">
      <c r="A831" s="9"/>
      <c r="B831" s="19"/>
      <c r="C831" s="9"/>
      <c r="D831" s="9"/>
      <c r="E831" s="59"/>
      <c r="F831" s="9"/>
      <c r="G831" s="9"/>
      <c r="H831" s="59"/>
      <c r="I831" s="59"/>
      <c r="J831" s="59"/>
      <c r="K831" s="59"/>
      <c r="L831" s="59"/>
      <c r="M831" s="59"/>
      <c r="N831" s="21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10"/>
      <c r="AA831" s="74"/>
      <c r="AB831" s="59"/>
      <c r="AC831" s="9"/>
    </row>
    <row r="832">
      <c r="A832" s="9"/>
      <c r="B832" s="19"/>
      <c r="C832" s="9"/>
      <c r="D832" s="9"/>
      <c r="E832" s="59"/>
      <c r="F832" s="9"/>
      <c r="G832" s="9"/>
      <c r="H832" s="59"/>
      <c r="I832" s="59"/>
      <c r="J832" s="59"/>
      <c r="K832" s="59"/>
      <c r="L832" s="59"/>
      <c r="M832" s="59"/>
      <c r="N832" s="21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10"/>
      <c r="AA832" s="74"/>
      <c r="AB832" s="59"/>
      <c r="AC832" s="9"/>
    </row>
    <row r="833">
      <c r="A833" s="9"/>
      <c r="B833" s="19"/>
      <c r="C833" s="9"/>
      <c r="D833" s="9"/>
      <c r="E833" s="59"/>
      <c r="F833" s="9"/>
      <c r="G833" s="9"/>
      <c r="H833" s="59"/>
      <c r="I833" s="59"/>
      <c r="J833" s="59"/>
      <c r="K833" s="59"/>
      <c r="L833" s="59"/>
      <c r="M833" s="59"/>
      <c r="N833" s="21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10"/>
      <c r="AA833" s="74"/>
      <c r="AB833" s="59"/>
      <c r="AC833" s="9"/>
    </row>
    <row r="834">
      <c r="A834" s="9"/>
      <c r="B834" s="19"/>
      <c r="C834" s="9"/>
      <c r="D834" s="9"/>
      <c r="E834" s="59"/>
      <c r="F834" s="9"/>
      <c r="G834" s="9"/>
      <c r="H834" s="59"/>
      <c r="I834" s="59"/>
      <c r="J834" s="59"/>
      <c r="K834" s="59"/>
      <c r="L834" s="59"/>
      <c r="M834" s="59"/>
      <c r="N834" s="21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10"/>
      <c r="AA834" s="74"/>
      <c r="AB834" s="59"/>
      <c r="AC834" s="9"/>
    </row>
    <row r="835">
      <c r="A835" s="9"/>
      <c r="B835" s="19"/>
      <c r="C835" s="9"/>
      <c r="D835" s="9"/>
      <c r="E835" s="59"/>
      <c r="F835" s="9"/>
      <c r="G835" s="9"/>
      <c r="H835" s="59"/>
      <c r="I835" s="59"/>
      <c r="J835" s="59"/>
      <c r="K835" s="59"/>
      <c r="L835" s="59"/>
      <c r="M835" s="59"/>
      <c r="N835" s="21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10"/>
      <c r="AA835" s="74"/>
      <c r="AB835" s="59"/>
      <c r="AC835" s="9"/>
    </row>
    <row r="836">
      <c r="A836" s="9"/>
      <c r="B836" s="19"/>
      <c r="C836" s="9"/>
      <c r="D836" s="9"/>
      <c r="E836" s="59"/>
      <c r="F836" s="9"/>
      <c r="G836" s="9"/>
      <c r="H836" s="59"/>
      <c r="I836" s="59"/>
      <c r="J836" s="59"/>
      <c r="K836" s="59"/>
      <c r="L836" s="59"/>
      <c r="M836" s="59"/>
      <c r="N836" s="21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10"/>
      <c r="AA836" s="74"/>
      <c r="AB836" s="59"/>
      <c r="AC836" s="9"/>
    </row>
    <row r="837">
      <c r="A837" s="9"/>
      <c r="B837" s="19"/>
      <c r="C837" s="9"/>
      <c r="D837" s="9"/>
      <c r="E837" s="59"/>
      <c r="F837" s="9"/>
      <c r="G837" s="9"/>
      <c r="H837" s="59"/>
      <c r="I837" s="59"/>
      <c r="J837" s="59"/>
      <c r="K837" s="59"/>
      <c r="L837" s="59"/>
      <c r="M837" s="59"/>
      <c r="N837" s="21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10"/>
      <c r="AA837" s="74"/>
      <c r="AB837" s="59"/>
      <c r="AC837" s="9"/>
    </row>
    <row r="838">
      <c r="A838" s="9"/>
      <c r="B838" s="19"/>
      <c r="C838" s="9"/>
      <c r="D838" s="9"/>
      <c r="E838" s="59"/>
      <c r="F838" s="9"/>
      <c r="G838" s="9"/>
      <c r="H838" s="59"/>
      <c r="I838" s="59"/>
      <c r="J838" s="59"/>
      <c r="K838" s="59"/>
      <c r="L838" s="59"/>
      <c r="M838" s="59"/>
      <c r="N838" s="21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10"/>
      <c r="AA838" s="74"/>
      <c r="AB838" s="59"/>
      <c r="AC838" s="9"/>
    </row>
    <row r="839">
      <c r="A839" s="9"/>
      <c r="B839" s="19"/>
      <c r="C839" s="9"/>
      <c r="D839" s="9"/>
      <c r="E839" s="59"/>
      <c r="F839" s="9"/>
      <c r="G839" s="9"/>
      <c r="H839" s="59"/>
      <c r="I839" s="59"/>
      <c r="J839" s="59"/>
      <c r="K839" s="59"/>
      <c r="L839" s="59"/>
      <c r="M839" s="59"/>
      <c r="N839" s="21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10"/>
      <c r="AA839" s="74"/>
      <c r="AB839" s="59"/>
      <c r="AC839" s="9"/>
    </row>
    <row r="840">
      <c r="A840" s="9"/>
      <c r="B840" s="19"/>
      <c r="C840" s="9"/>
      <c r="D840" s="9"/>
      <c r="E840" s="59"/>
      <c r="F840" s="9"/>
      <c r="G840" s="9"/>
      <c r="H840" s="59"/>
      <c r="I840" s="59"/>
      <c r="J840" s="59"/>
      <c r="K840" s="59"/>
      <c r="L840" s="59"/>
      <c r="M840" s="59"/>
      <c r="N840" s="21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10"/>
      <c r="AA840" s="74"/>
      <c r="AB840" s="59"/>
      <c r="AC840" s="9"/>
    </row>
    <row r="841">
      <c r="A841" s="9"/>
      <c r="B841" s="19"/>
      <c r="C841" s="9"/>
      <c r="D841" s="9"/>
      <c r="E841" s="59"/>
      <c r="F841" s="9"/>
      <c r="G841" s="9"/>
      <c r="H841" s="59"/>
      <c r="I841" s="59"/>
      <c r="J841" s="59"/>
      <c r="K841" s="59"/>
      <c r="L841" s="59"/>
      <c r="M841" s="59"/>
      <c r="N841" s="21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10"/>
      <c r="AA841" s="74"/>
      <c r="AB841" s="59"/>
      <c r="AC841" s="9"/>
    </row>
    <row r="842">
      <c r="A842" s="9"/>
      <c r="B842" s="19"/>
      <c r="C842" s="9"/>
      <c r="D842" s="9"/>
      <c r="E842" s="59"/>
      <c r="F842" s="9"/>
      <c r="G842" s="9"/>
      <c r="H842" s="59"/>
      <c r="I842" s="59"/>
      <c r="J842" s="59"/>
      <c r="K842" s="59"/>
      <c r="L842" s="59"/>
      <c r="M842" s="59"/>
      <c r="N842" s="21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10"/>
      <c r="AA842" s="74"/>
      <c r="AB842" s="59"/>
      <c r="AC842" s="9"/>
    </row>
    <row r="843">
      <c r="A843" s="9"/>
      <c r="B843" s="19"/>
      <c r="C843" s="9"/>
      <c r="D843" s="9"/>
      <c r="E843" s="59"/>
      <c r="F843" s="9"/>
      <c r="G843" s="9"/>
      <c r="H843" s="59"/>
      <c r="I843" s="59"/>
      <c r="J843" s="59"/>
      <c r="K843" s="59"/>
      <c r="L843" s="59"/>
      <c r="M843" s="59"/>
      <c r="N843" s="21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10"/>
      <c r="AA843" s="74"/>
      <c r="AB843" s="59"/>
      <c r="AC843" s="9"/>
    </row>
    <row r="844">
      <c r="A844" s="9"/>
      <c r="B844" s="19"/>
      <c r="C844" s="9"/>
      <c r="D844" s="9"/>
      <c r="E844" s="59"/>
      <c r="F844" s="9"/>
      <c r="G844" s="9"/>
      <c r="H844" s="59"/>
      <c r="I844" s="59"/>
      <c r="J844" s="59"/>
      <c r="K844" s="59"/>
      <c r="L844" s="59"/>
      <c r="M844" s="59"/>
      <c r="N844" s="21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10"/>
      <c r="AA844" s="74"/>
      <c r="AB844" s="59"/>
      <c r="AC844" s="9"/>
    </row>
    <row r="845">
      <c r="A845" s="9"/>
      <c r="B845" s="19"/>
      <c r="C845" s="9"/>
      <c r="D845" s="9"/>
      <c r="E845" s="59"/>
      <c r="F845" s="9"/>
      <c r="G845" s="9"/>
      <c r="H845" s="59"/>
      <c r="I845" s="59"/>
      <c r="J845" s="59"/>
      <c r="K845" s="59"/>
      <c r="L845" s="59"/>
      <c r="M845" s="59"/>
      <c r="N845" s="21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10"/>
      <c r="AA845" s="74"/>
      <c r="AB845" s="59"/>
      <c r="AC845" s="9"/>
    </row>
    <row r="846">
      <c r="A846" s="9"/>
      <c r="B846" s="19"/>
      <c r="C846" s="9"/>
      <c r="D846" s="9"/>
      <c r="E846" s="59"/>
      <c r="F846" s="9"/>
      <c r="G846" s="9"/>
      <c r="H846" s="59"/>
      <c r="I846" s="59"/>
      <c r="J846" s="59"/>
      <c r="K846" s="59"/>
      <c r="L846" s="59"/>
      <c r="M846" s="59"/>
      <c r="N846" s="21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10"/>
      <c r="AA846" s="74"/>
      <c r="AB846" s="59"/>
      <c r="AC846" s="9"/>
    </row>
    <row r="847">
      <c r="A847" s="9"/>
      <c r="B847" s="19"/>
      <c r="C847" s="9"/>
      <c r="D847" s="9"/>
      <c r="E847" s="59"/>
      <c r="F847" s="9"/>
      <c r="G847" s="9"/>
      <c r="H847" s="59"/>
      <c r="I847" s="59"/>
      <c r="J847" s="59"/>
      <c r="K847" s="59"/>
      <c r="L847" s="59"/>
      <c r="M847" s="59"/>
      <c r="N847" s="21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10"/>
      <c r="AA847" s="74"/>
      <c r="AB847" s="59"/>
      <c r="AC847" s="9"/>
    </row>
    <row r="848">
      <c r="A848" s="9"/>
      <c r="B848" s="19"/>
      <c r="C848" s="9"/>
      <c r="D848" s="9"/>
      <c r="E848" s="59"/>
      <c r="F848" s="9"/>
      <c r="G848" s="9"/>
      <c r="H848" s="59"/>
      <c r="I848" s="59"/>
      <c r="J848" s="59"/>
      <c r="K848" s="59"/>
      <c r="L848" s="59"/>
      <c r="M848" s="59"/>
      <c r="N848" s="21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10"/>
      <c r="AA848" s="74"/>
      <c r="AB848" s="59"/>
      <c r="AC848" s="9"/>
    </row>
    <row r="849">
      <c r="A849" s="9"/>
      <c r="B849" s="19"/>
      <c r="C849" s="9"/>
      <c r="D849" s="9"/>
      <c r="E849" s="59"/>
      <c r="F849" s="9"/>
      <c r="G849" s="9"/>
      <c r="H849" s="59"/>
      <c r="I849" s="59"/>
      <c r="J849" s="59"/>
      <c r="K849" s="59"/>
      <c r="L849" s="59"/>
      <c r="M849" s="59"/>
      <c r="N849" s="21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10"/>
      <c r="AA849" s="74"/>
      <c r="AB849" s="59"/>
      <c r="AC849" s="9"/>
    </row>
    <row r="850">
      <c r="A850" s="9"/>
      <c r="B850" s="19"/>
      <c r="C850" s="9"/>
      <c r="D850" s="9"/>
      <c r="E850" s="59"/>
      <c r="F850" s="9"/>
      <c r="G850" s="9"/>
      <c r="H850" s="59"/>
      <c r="I850" s="59"/>
      <c r="J850" s="59"/>
      <c r="K850" s="59"/>
      <c r="L850" s="59"/>
      <c r="M850" s="59"/>
      <c r="N850" s="21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10"/>
      <c r="AA850" s="74"/>
      <c r="AB850" s="59"/>
      <c r="AC850" s="9"/>
    </row>
    <row r="851">
      <c r="A851" s="9"/>
      <c r="B851" s="19"/>
      <c r="C851" s="9"/>
      <c r="D851" s="9"/>
      <c r="E851" s="59"/>
      <c r="F851" s="9"/>
      <c r="G851" s="9"/>
      <c r="H851" s="59"/>
      <c r="I851" s="59"/>
      <c r="J851" s="59"/>
      <c r="K851" s="59"/>
      <c r="L851" s="59"/>
      <c r="M851" s="59"/>
      <c r="N851" s="21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10"/>
      <c r="AA851" s="74"/>
      <c r="AB851" s="59"/>
      <c r="AC851" s="9"/>
    </row>
    <row r="852">
      <c r="A852" s="9"/>
      <c r="B852" s="19"/>
      <c r="C852" s="9"/>
      <c r="D852" s="9"/>
      <c r="E852" s="59"/>
      <c r="F852" s="9"/>
      <c r="G852" s="9"/>
      <c r="H852" s="59"/>
      <c r="I852" s="59"/>
      <c r="J852" s="59"/>
      <c r="K852" s="59"/>
      <c r="L852" s="59"/>
      <c r="M852" s="59"/>
      <c r="N852" s="21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10"/>
      <c r="AA852" s="74"/>
      <c r="AB852" s="59"/>
      <c r="AC852" s="9"/>
    </row>
    <row r="853">
      <c r="A853" s="9"/>
      <c r="B853" s="19"/>
      <c r="C853" s="9"/>
      <c r="D853" s="9"/>
      <c r="E853" s="59"/>
      <c r="F853" s="9"/>
      <c r="G853" s="9"/>
      <c r="H853" s="59"/>
      <c r="I853" s="59"/>
      <c r="J853" s="59"/>
      <c r="K853" s="59"/>
      <c r="L853" s="59"/>
      <c r="M853" s="59"/>
      <c r="N853" s="21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10"/>
      <c r="AA853" s="74"/>
      <c r="AB853" s="59"/>
      <c r="AC853" s="9"/>
    </row>
    <row r="854">
      <c r="A854" s="9"/>
      <c r="B854" s="19"/>
      <c r="C854" s="9"/>
      <c r="D854" s="9"/>
      <c r="E854" s="59"/>
      <c r="F854" s="9"/>
      <c r="G854" s="9"/>
      <c r="H854" s="59"/>
      <c r="I854" s="59"/>
      <c r="J854" s="59"/>
      <c r="K854" s="59"/>
      <c r="L854" s="59"/>
      <c r="M854" s="59"/>
      <c r="N854" s="21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10"/>
      <c r="AA854" s="74"/>
      <c r="AB854" s="59"/>
      <c r="AC854" s="9"/>
    </row>
    <row r="855">
      <c r="A855" s="9"/>
      <c r="B855" s="19"/>
      <c r="C855" s="9"/>
      <c r="D855" s="9"/>
      <c r="E855" s="59"/>
      <c r="F855" s="9"/>
      <c r="G855" s="9"/>
      <c r="H855" s="59"/>
      <c r="I855" s="59"/>
      <c r="J855" s="59"/>
      <c r="K855" s="59"/>
      <c r="L855" s="59"/>
      <c r="M855" s="59"/>
      <c r="N855" s="21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10"/>
      <c r="AA855" s="74"/>
      <c r="AB855" s="59"/>
      <c r="AC855" s="9"/>
    </row>
    <row r="856">
      <c r="A856" s="9"/>
      <c r="B856" s="19"/>
      <c r="C856" s="9"/>
      <c r="D856" s="9"/>
      <c r="E856" s="59"/>
      <c r="F856" s="9"/>
      <c r="G856" s="9"/>
      <c r="H856" s="59"/>
      <c r="I856" s="59"/>
      <c r="J856" s="59"/>
      <c r="K856" s="59"/>
      <c r="L856" s="59"/>
      <c r="M856" s="59"/>
      <c r="N856" s="21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10"/>
      <c r="AA856" s="74"/>
      <c r="AB856" s="59"/>
      <c r="AC856" s="9"/>
    </row>
    <row r="857">
      <c r="A857" s="9"/>
      <c r="B857" s="19"/>
      <c r="C857" s="9"/>
      <c r="D857" s="9"/>
      <c r="E857" s="59"/>
      <c r="F857" s="9"/>
      <c r="G857" s="9"/>
      <c r="H857" s="59"/>
      <c r="I857" s="59"/>
      <c r="J857" s="59"/>
      <c r="K857" s="59"/>
      <c r="L857" s="59"/>
      <c r="M857" s="59"/>
      <c r="N857" s="21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10"/>
      <c r="AA857" s="74"/>
      <c r="AB857" s="59"/>
      <c r="AC857" s="9"/>
    </row>
    <row r="858">
      <c r="A858" s="9"/>
      <c r="B858" s="19"/>
      <c r="C858" s="9"/>
      <c r="D858" s="9"/>
      <c r="E858" s="59"/>
      <c r="F858" s="9"/>
      <c r="G858" s="9"/>
      <c r="H858" s="59"/>
      <c r="I858" s="59"/>
      <c r="J858" s="59"/>
      <c r="K858" s="59"/>
      <c r="L858" s="59"/>
      <c r="M858" s="59"/>
      <c r="N858" s="21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10"/>
      <c r="AA858" s="74"/>
      <c r="AB858" s="59"/>
      <c r="AC858" s="9"/>
    </row>
    <row r="859">
      <c r="A859" s="9"/>
      <c r="B859" s="19"/>
      <c r="C859" s="9"/>
      <c r="D859" s="9"/>
      <c r="E859" s="59"/>
      <c r="F859" s="9"/>
      <c r="G859" s="9"/>
      <c r="H859" s="59"/>
      <c r="I859" s="59"/>
      <c r="J859" s="59"/>
      <c r="K859" s="59"/>
      <c r="L859" s="59"/>
      <c r="M859" s="59"/>
      <c r="N859" s="21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10"/>
      <c r="AA859" s="74"/>
      <c r="AB859" s="59"/>
      <c r="AC859" s="9"/>
    </row>
    <row r="860">
      <c r="A860" s="9"/>
      <c r="B860" s="19"/>
      <c r="C860" s="9"/>
      <c r="D860" s="9"/>
      <c r="E860" s="59"/>
      <c r="F860" s="9"/>
      <c r="G860" s="9"/>
      <c r="H860" s="59"/>
      <c r="I860" s="59"/>
      <c r="J860" s="59"/>
      <c r="K860" s="59"/>
      <c r="L860" s="59"/>
      <c r="M860" s="59"/>
      <c r="N860" s="21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10"/>
      <c r="AA860" s="74"/>
      <c r="AB860" s="59"/>
      <c r="AC860" s="9"/>
    </row>
    <row r="861">
      <c r="A861" s="9"/>
      <c r="B861" s="19"/>
      <c r="C861" s="9"/>
      <c r="D861" s="9"/>
      <c r="E861" s="59"/>
      <c r="F861" s="9"/>
      <c r="G861" s="9"/>
      <c r="H861" s="59"/>
      <c r="I861" s="59"/>
      <c r="J861" s="59"/>
      <c r="K861" s="59"/>
      <c r="L861" s="59"/>
      <c r="M861" s="59"/>
      <c r="N861" s="21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10"/>
      <c r="AA861" s="74"/>
      <c r="AB861" s="59"/>
      <c r="AC861" s="9"/>
    </row>
    <row r="862">
      <c r="A862" s="9"/>
      <c r="B862" s="19"/>
      <c r="C862" s="9"/>
      <c r="D862" s="9"/>
      <c r="E862" s="59"/>
      <c r="F862" s="9"/>
      <c r="G862" s="9"/>
      <c r="H862" s="59"/>
      <c r="I862" s="59"/>
      <c r="J862" s="59"/>
      <c r="K862" s="59"/>
      <c r="L862" s="59"/>
      <c r="M862" s="59"/>
      <c r="N862" s="21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10"/>
      <c r="AA862" s="74"/>
      <c r="AB862" s="59"/>
      <c r="AC862" s="9"/>
    </row>
    <row r="863">
      <c r="A863" s="9"/>
      <c r="B863" s="19"/>
      <c r="C863" s="9"/>
      <c r="D863" s="9"/>
      <c r="E863" s="59"/>
      <c r="F863" s="9"/>
      <c r="G863" s="9"/>
      <c r="H863" s="59"/>
      <c r="I863" s="59"/>
      <c r="J863" s="59"/>
      <c r="K863" s="59"/>
      <c r="L863" s="59"/>
      <c r="M863" s="59"/>
      <c r="N863" s="21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10"/>
      <c r="AA863" s="74"/>
      <c r="AB863" s="59"/>
      <c r="AC863" s="9"/>
    </row>
    <row r="864">
      <c r="A864" s="9"/>
      <c r="B864" s="19"/>
      <c r="C864" s="9"/>
      <c r="D864" s="9"/>
      <c r="E864" s="59"/>
      <c r="F864" s="9"/>
      <c r="G864" s="9"/>
      <c r="H864" s="59"/>
      <c r="I864" s="59"/>
      <c r="J864" s="59"/>
      <c r="K864" s="59"/>
      <c r="L864" s="59"/>
      <c r="M864" s="59"/>
      <c r="N864" s="21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10"/>
      <c r="AA864" s="74"/>
      <c r="AB864" s="59"/>
      <c r="AC864" s="9"/>
    </row>
    <row r="865">
      <c r="A865" s="9"/>
      <c r="B865" s="19"/>
      <c r="C865" s="9"/>
      <c r="D865" s="9"/>
      <c r="E865" s="59"/>
      <c r="F865" s="9"/>
      <c r="G865" s="9"/>
      <c r="H865" s="59"/>
      <c r="I865" s="59"/>
      <c r="J865" s="59"/>
      <c r="K865" s="59"/>
      <c r="L865" s="59"/>
      <c r="M865" s="59"/>
      <c r="N865" s="21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10"/>
      <c r="AA865" s="74"/>
      <c r="AB865" s="59"/>
      <c r="AC865" s="9"/>
    </row>
    <row r="866">
      <c r="A866" s="9"/>
      <c r="B866" s="19"/>
      <c r="C866" s="9"/>
      <c r="D866" s="9"/>
      <c r="E866" s="59"/>
      <c r="F866" s="9"/>
      <c r="G866" s="9"/>
      <c r="H866" s="59"/>
      <c r="I866" s="59"/>
      <c r="J866" s="59"/>
      <c r="K866" s="59"/>
      <c r="L866" s="59"/>
      <c r="M866" s="59"/>
      <c r="N866" s="21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10"/>
      <c r="AA866" s="74"/>
      <c r="AB866" s="59"/>
      <c r="AC866" s="9"/>
    </row>
    <row r="867">
      <c r="A867" s="9"/>
      <c r="B867" s="19"/>
      <c r="C867" s="9"/>
      <c r="D867" s="9"/>
      <c r="E867" s="59"/>
      <c r="F867" s="9"/>
      <c r="G867" s="9"/>
      <c r="H867" s="59"/>
      <c r="I867" s="59"/>
      <c r="J867" s="59"/>
      <c r="K867" s="59"/>
      <c r="L867" s="59"/>
      <c r="M867" s="59"/>
      <c r="N867" s="21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10"/>
      <c r="AA867" s="74"/>
      <c r="AB867" s="59"/>
      <c r="AC867" s="9"/>
    </row>
    <row r="868">
      <c r="A868" s="9"/>
      <c r="B868" s="19"/>
      <c r="C868" s="9"/>
      <c r="D868" s="9"/>
      <c r="E868" s="59"/>
      <c r="F868" s="9"/>
      <c r="G868" s="9"/>
      <c r="H868" s="59"/>
      <c r="I868" s="59"/>
      <c r="J868" s="59"/>
      <c r="K868" s="59"/>
      <c r="L868" s="59"/>
      <c r="M868" s="59"/>
      <c r="N868" s="21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10"/>
      <c r="AA868" s="74"/>
      <c r="AB868" s="59"/>
      <c r="AC868" s="9"/>
    </row>
    <row r="869">
      <c r="A869" s="9"/>
      <c r="B869" s="19"/>
      <c r="C869" s="9"/>
      <c r="D869" s="9"/>
      <c r="E869" s="59"/>
      <c r="F869" s="9"/>
      <c r="G869" s="9"/>
      <c r="H869" s="59"/>
      <c r="I869" s="59"/>
      <c r="J869" s="59"/>
      <c r="K869" s="59"/>
      <c r="L869" s="59"/>
      <c r="M869" s="59"/>
      <c r="N869" s="21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10"/>
      <c r="AA869" s="74"/>
      <c r="AB869" s="59"/>
      <c r="AC869" s="9"/>
    </row>
    <row r="870">
      <c r="A870" s="9"/>
      <c r="B870" s="19"/>
      <c r="C870" s="9"/>
      <c r="D870" s="9"/>
      <c r="E870" s="59"/>
      <c r="F870" s="9"/>
      <c r="G870" s="9"/>
      <c r="H870" s="59"/>
      <c r="I870" s="59"/>
      <c r="J870" s="59"/>
      <c r="K870" s="59"/>
      <c r="L870" s="59"/>
      <c r="M870" s="59"/>
      <c r="N870" s="21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10"/>
      <c r="AA870" s="74"/>
      <c r="AB870" s="59"/>
      <c r="AC870" s="9"/>
    </row>
    <row r="871">
      <c r="A871" s="9"/>
      <c r="B871" s="19"/>
      <c r="C871" s="9"/>
      <c r="D871" s="9"/>
      <c r="E871" s="59"/>
      <c r="F871" s="9"/>
      <c r="G871" s="9"/>
      <c r="H871" s="59"/>
      <c r="I871" s="59"/>
      <c r="J871" s="59"/>
      <c r="K871" s="59"/>
      <c r="L871" s="59"/>
      <c r="M871" s="59"/>
      <c r="N871" s="21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10"/>
      <c r="AA871" s="74"/>
      <c r="AB871" s="59"/>
      <c r="AC871" s="9"/>
    </row>
    <row r="872">
      <c r="A872" s="9"/>
      <c r="B872" s="19"/>
      <c r="C872" s="9"/>
      <c r="D872" s="9"/>
      <c r="E872" s="59"/>
      <c r="F872" s="9"/>
      <c r="G872" s="9"/>
      <c r="H872" s="59"/>
      <c r="I872" s="59"/>
      <c r="J872" s="59"/>
      <c r="K872" s="59"/>
      <c r="L872" s="59"/>
      <c r="M872" s="59"/>
      <c r="N872" s="21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10"/>
      <c r="AA872" s="74"/>
      <c r="AB872" s="59"/>
      <c r="AC872" s="9"/>
    </row>
    <row r="873">
      <c r="A873" s="9"/>
      <c r="B873" s="19"/>
      <c r="C873" s="9"/>
      <c r="D873" s="9"/>
      <c r="E873" s="59"/>
      <c r="F873" s="9"/>
      <c r="G873" s="9"/>
      <c r="H873" s="59"/>
      <c r="I873" s="59"/>
      <c r="J873" s="59"/>
      <c r="K873" s="59"/>
      <c r="L873" s="59"/>
      <c r="M873" s="59"/>
      <c r="N873" s="21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10"/>
      <c r="AA873" s="74"/>
      <c r="AB873" s="59"/>
      <c r="AC873" s="9"/>
    </row>
    <row r="874">
      <c r="A874" s="9"/>
      <c r="B874" s="19"/>
      <c r="C874" s="9"/>
      <c r="D874" s="9"/>
      <c r="E874" s="59"/>
      <c r="F874" s="9"/>
      <c r="G874" s="9"/>
      <c r="H874" s="59"/>
      <c r="I874" s="59"/>
      <c r="J874" s="59"/>
      <c r="K874" s="59"/>
      <c r="L874" s="59"/>
      <c r="M874" s="59"/>
      <c r="N874" s="21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10"/>
      <c r="AA874" s="74"/>
      <c r="AB874" s="59"/>
      <c r="AC874" s="9"/>
    </row>
    <row r="875">
      <c r="A875" s="9"/>
      <c r="B875" s="19"/>
      <c r="C875" s="9"/>
      <c r="D875" s="9"/>
      <c r="E875" s="59"/>
      <c r="F875" s="9"/>
      <c r="G875" s="9"/>
      <c r="H875" s="59"/>
      <c r="I875" s="59"/>
      <c r="J875" s="59"/>
      <c r="K875" s="59"/>
      <c r="L875" s="59"/>
      <c r="M875" s="59"/>
      <c r="N875" s="21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10"/>
      <c r="AA875" s="74"/>
      <c r="AB875" s="59"/>
      <c r="AC875" s="9"/>
    </row>
    <row r="876">
      <c r="A876" s="9"/>
      <c r="B876" s="19"/>
      <c r="C876" s="9"/>
      <c r="D876" s="9"/>
      <c r="E876" s="59"/>
      <c r="F876" s="9"/>
      <c r="G876" s="9"/>
      <c r="H876" s="59"/>
      <c r="I876" s="59"/>
      <c r="J876" s="59"/>
      <c r="K876" s="59"/>
      <c r="L876" s="59"/>
      <c r="M876" s="59"/>
      <c r="N876" s="21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10"/>
      <c r="AA876" s="74"/>
      <c r="AB876" s="59"/>
      <c r="AC876" s="9"/>
    </row>
    <row r="877">
      <c r="A877" s="9"/>
      <c r="B877" s="19"/>
      <c r="C877" s="9"/>
      <c r="D877" s="9"/>
      <c r="E877" s="59"/>
      <c r="F877" s="9"/>
      <c r="G877" s="9"/>
      <c r="H877" s="59"/>
      <c r="I877" s="59"/>
      <c r="J877" s="59"/>
      <c r="K877" s="59"/>
      <c r="L877" s="59"/>
      <c r="M877" s="59"/>
      <c r="N877" s="21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10"/>
      <c r="AA877" s="74"/>
      <c r="AB877" s="59"/>
      <c r="AC877" s="9"/>
    </row>
    <row r="878">
      <c r="A878" s="9"/>
      <c r="B878" s="19"/>
      <c r="C878" s="9"/>
      <c r="D878" s="9"/>
      <c r="E878" s="59"/>
      <c r="F878" s="9"/>
      <c r="G878" s="9"/>
      <c r="H878" s="59"/>
      <c r="I878" s="59"/>
      <c r="J878" s="59"/>
      <c r="K878" s="59"/>
      <c r="L878" s="59"/>
      <c r="M878" s="59"/>
      <c r="N878" s="21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10"/>
      <c r="AA878" s="74"/>
      <c r="AB878" s="59"/>
      <c r="AC878" s="9"/>
    </row>
    <row r="879">
      <c r="A879" s="9"/>
      <c r="B879" s="19"/>
      <c r="C879" s="9"/>
      <c r="D879" s="9"/>
      <c r="E879" s="59"/>
      <c r="F879" s="9"/>
      <c r="G879" s="9"/>
      <c r="H879" s="59"/>
      <c r="I879" s="59"/>
      <c r="J879" s="59"/>
      <c r="K879" s="59"/>
      <c r="L879" s="59"/>
      <c r="M879" s="59"/>
      <c r="N879" s="21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10"/>
      <c r="AA879" s="74"/>
      <c r="AB879" s="59"/>
      <c r="AC879" s="9"/>
    </row>
    <row r="880">
      <c r="A880" s="9"/>
      <c r="B880" s="19"/>
      <c r="C880" s="9"/>
      <c r="D880" s="9"/>
      <c r="E880" s="59"/>
      <c r="F880" s="9"/>
      <c r="G880" s="9"/>
      <c r="H880" s="59"/>
      <c r="I880" s="59"/>
      <c r="J880" s="59"/>
      <c r="K880" s="59"/>
      <c r="L880" s="59"/>
      <c r="M880" s="59"/>
      <c r="N880" s="21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10"/>
      <c r="AA880" s="74"/>
      <c r="AB880" s="59"/>
      <c r="AC880" s="9"/>
    </row>
    <row r="881">
      <c r="A881" s="9"/>
      <c r="B881" s="19"/>
      <c r="C881" s="9"/>
      <c r="D881" s="9"/>
      <c r="E881" s="59"/>
      <c r="F881" s="9"/>
      <c r="G881" s="9"/>
      <c r="H881" s="59"/>
      <c r="I881" s="59"/>
      <c r="J881" s="59"/>
      <c r="K881" s="59"/>
      <c r="L881" s="59"/>
      <c r="M881" s="59"/>
      <c r="N881" s="21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10"/>
      <c r="AA881" s="74"/>
      <c r="AB881" s="59"/>
      <c r="AC881" s="9"/>
    </row>
    <row r="882">
      <c r="A882" s="9"/>
      <c r="B882" s="19"/>
      <c r="C882" s="9"/>
      <c r="D882" s="9"/>
      <c r="E882" s="59"/>
      <c r="F882" s="9"/>
      <c r="G882" s="9"/>
      <c r="H882" s="59"/>
      <c r="I882" s="59"/>
      <c r="J882" s="59"/>
      <c r="K882" s="59"/>
      <c r="L882" s="59"/>
      <c r="M882" s="59"/>
      <c r="N882" s="21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10"/>
      <c r="AA882" s="74"/>
      <c r="AB882" s="59"/>
      <c r="AC882" s="9"/>
    </row>
    <row r="883">
      <c r="A883" s="9"/>
      <c r="B883" s="19"/>
      <c r="C883" s="9"/>
      <c r="D883" s="9"/>
      <c r="E883" s="59"/>
      <c r="F883" s="9"/>
      <c r="G883" s="9"/>
      <c r="H883" s="59"/>
      <c r="I883" s="59"/>
      <c r="J883" s="59"/>
      <c r="K883" s="59"/>
      <c r="L883" s="59"/>
      <c r="M883" s="59"/>
      <c r="N883" s="21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10"/>
      <c r="AA883" s="74"/>
      <c r="AB883" s="59"/>
      <c r="AC883" s="9"/>
    </row>
    <row r="884">
      <c r="A884" s="9"/>
      <c r="B884" s="19"/>
      <c r="C884" s="9"/>
      <c r="D884" s="9"/>
      <c r="E884" s="59"/>
      <c r="F884" s="9"/>
      <c r="G884" s="9"/>
      <c r="H884" s="59"/>
      <c r="I884" s="59"/>
      <c r="J884" s="59"/>
      <c r="K884" s="59"/>
      <c r="L884" s="59"/>
      <c r="M884" s="59"/>
      <c r="N884" s="21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10"/>
      <c r="AA884" s="74"/>
      <c r="AB884" s="59"/>
      <c r="AC884" s="9"/>
    </row>
    <row r="885">
      <c r="A885" s="9"/>
      <c r="B885" s="19"/>
      <c r="C885" s="9"/>
      <c r="D885" s="9"/>
      <c r="E885" s="59"/>
      <c r="F885" s="9"/>
      <c r="G885" s="9"/>
      <c r="H885" s="59"/>
      <c r="I885" s="59"/>
      <c r="J885" s="59"/>
      <c r="K885" s="59"/>
      <c r="L885" s="59"/>
      <c r="M885" s="59"/>
      <c r="N885" s="21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10"/>
      <c r="AA885" s="74"/>
      <c r="AB885" s="59"/>
      <c r="AC885" s="9"/>
    </row>
    <row r="886">
      <c r="A886" s="9"/>
      <c r="B886" s="19"/>
      <c r="C886" s="9"/>
      <c r="D886" s="9"/>
      <c r="E886" s="59"/>
      <c r="F886" s="9"/>
      <c r="G886" s="9"/>
      <c r="H886" s="59"/>
      <c r="I886" s="59"/>
      <c r="J886" s="59"/>
      <c r="K886" s="59"/>
      <c r="L886" s="59"/>
      <c r="M886" s="59"/>
      <c r="N886" s="21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10"/>
      <c r="AA886" s="74"/>
      <c r="AB886" s="59"/>
      <c r="AC886" s="9"/>
    </row>
    <row r="887">
      <c r="A887" s="9"/>
      <c r="B887" s="19"/>
      <c r="C887" s="9"/>
      <c r="D887" s="9"/>
      <c r="E887" s="59"/>
      <c r="F887" s="9"/>
      <c r="G887" s="9"/>
      <c r="H887" s="59"/>
      <c r="I887" s="59"/>
      <c r="J887" s="59"/>
      <c r="K887" s="59"/>
      <c r="L887" s="59"/>
      <c r="M887" s="59"/>
      <c r="N887" s="21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10"/>
      <c r="AA887" s="74"/>
      <c r="AB887" s="59"/>
      <c r="AC887" s="9"/>
    </row>
    <row r="888">
      <c r="A888" s="9"/>
      <c r="B888" s="19"/>
      <c r="C888" s="9"/>
      <c r="D888" s="9"/>
      <c r="E888" s="59"/>
      <c r="F888" s="9"/>
      <c r="G888" s="9"/>
      <c r="H888" s="59"/>
      <c r="I888" s="59"/>
      <c r="J888" s="59"/>
      <c r="K888" s="59"/>
      <c r="L888" s="59"/>
      <c r="M888" s="59"/>
      <c r="N888" s="21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10"/>
      <c r="AA888" s="74"/>
      <c r="AB888" s="59"/>
      <c r="AC888" s="9"/>
    </row>
    <row r="889">
      <c r="A889" s="9"/>
      <c r="B889" s="19"/>
      <c r="C889" s="9"/>
      <c r="D889" s="9"/>
      <c r="E889" s="59"/>
      <c r="F889" s="9"/>
      <c r="G889" s="9"/>
      <c r="H889" s="59"/>
      <c r="I889" s="59"/>
      <c r="J889" s="59"/>
      <c r="K889" s="59"/>
      <c r="L889" s="59"/>
      <c r="M889" s="59"/>
      <c r="N889" s="21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10"/>
      <c r="AA889" s="74"/>
      <c r="AB889" s="59"/>
      <c r="AC889" s="9"/>
    </row>
    <row r="890">
      <c r="A890" s="9"/>
      <c r="B890" s="19"/>
      <c r="C890" s="9"/>
      <c r="D890" s="9"/>
      <c r="E890" s="59"/>
      <c r="F890" s="9"/>
      <c r="G890" s="9"/>
      <c r="H890" s="59"/>
      <c r="I890" s="59"/>
      <c r="J890" s="59"/>
      <c r="K890" s="59"/>
      <c r="L890" s="59"/>
      <c r="M890" s="59"/>
      <c r="N890" s="21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10"/>
      <c r="AA890" s="74"/>
      <c r="AB890" s="59"/>
      <c r="AC890" s="9"/>
    </row>
    <row r="891">
      <c r="A891" s="9"/>
      <c r="B891" s="19"/>
      <c r="C891" s="9"/>
      <c r="D891" s="9"/>
      <c r="E891" s="59"/>
      <c r="F891" s="9"/>
      <c r="G891" s="9"/>
      <c r="H891" s="59"/>
      <c r="I891" s="59"/>
      <c r="J891" s="59"/>
      <c r="K891" s="59"/>
      <c r="L891" s="59"/>
      <c r="M891" s="59"/>
      <c r="N891" s="21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10"/>
      <c r="AA891" s="74"/>
      <c r="AB891" s="59"/>
      <c r="AC891" s="9"/>
    </row>
    <row r="892">
      <c r="A892" s="9"/>
      <c r="B892" s="19"/>
      <c r="C892" s="9"/>
      <c r="D892" s="9"/>
      <c r="E892" s="59"/>
      <c r="F892" s="9"/>
      <c r="G892" s="9"/>
      <c r="H892" s="59"/>
      <c r="I892" s="59"/>
      <c r="J892" s="59"/>
      <c r="K892" s="59"/>
      <c r="L892" s="59"/>
      <c r="M892" s="59"/>
      <c r="N892" s="21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10"/>
      <c r="AA892" s="74"/>
      <c r="AB892" s="59"/>
      <c r="AC892" s="9"/>
    </row>
    <row r="893">
      <c r="A893" s="9"/>
      <c r="B893" s="19"/>
      <c r="C893" s="9"/>
      <c r="D893" s="9"/>
      <c r="E893" s="59"/>
      <c r="F893" s="9"/>
      <c r="G893" s="9"/>
      <c r="H893" s="59"/>
      <c r="I893" s="59"/>
      <c r="J893" s="59"/>
      <c r="K893" s="59"/>
      <c r="L893" s="59"/>
      <c r="M893" s="59"/>
      <c r="N893" s="21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10"/>
      <c r="AA893" s="74"/>
      <c r="AB893" s="59"/>
      <c r="AC893" s="9"/>
    </row>
    <row r="894">
      <c r="A894" s="9"/>
      <c r="B894" s="19"/>
      <c r="C894" s="9"/>
      <c r="D894" s="9"/>
      <c r="E894" s="59"/>
      <c r="F894" s="9"/>
      <c r="G894" s="9"/>
      <c r="H894" s="59"/>
      <c r="I894" s="59"/>
      <c r="J894" s="59"/>
      <c r="K894" s="59"/>
      <c r="L894" s="59"/>
      <c r="M894" s="59"/>
      <c r="N894" s="21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10"/>
      <c r="AA894" s="74"/>
      <c r="AB894" s="59"/>
      <c r="AC894" s="9"/>
    </row>
    <row r="895">
      <c r="A895" s="9"/>
      <c r="B895" s="19"/>
      <c r="C895" s="9"/>
      <c r="D895" s="9"/>
      <c r="E895" s="59"/>
      <c r="F895" s="9"/>
      <c r="G895" s="9"/>
      <c r="H895" s="59"/>
      <c r="I895" s="59"/>
      <c r="J895" s="59"/>
      <c r="K895" s="59"/>
      <c r="L895" s="59"/>
      <c r="M895" s="59"/>
      <c r="N895" s="21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10"/>
      <c r="AA895" s="74"/>
      <c r="AB895" s="59"/>
      <c r="AC895" s="9"/>
    </row>
    <row r="896">
      <c r="A896" s="9"/>
      <c r="B896" s="19"/>
      <c r="C896" s="9"/>
      <c r="D896" s="9"/>
      <c r="E896" s="59"/>
      <c r="F896" s="9"/>
      <c r="G896" s="9"/>
      <c r="H896" s="59"/>
      <c r="I896" s="59"/>
      <c r="J896" s="59"/>
      <c r="K896" s="59"/>
      <c r="L896" s="59"/>
      <c r="M896" s="59"/>
      <c r="N896" s="21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10"/>
      <c r="AA896" s="74"/>
      <c r="AB896" s="59"/>
      <c r="AC896" s="9"/>
    </row>
    <row r="897">
      <c r="A897" s="9"/>
      <c r="B897" s="19"/>
      <c r="C897" s="9"/>
      <c r="D897" s="9"/>
      <c r="E897" s="59"/>
      <c r="F897" s="9"/>
      <c r="G897" s="9"/>
      <c r="H897" s="59"/>
      <c r="I897" s="59"/>
      <c r="J897" s="59"/>
      <c r="K897" s="59"/>
      <c r="L897" s="59"/>
      <c r="M897" s="59"/>
      <c r="N897" s="21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10"/>
      <c r="AA897" s="74"/>
      <c r="AB897" s="59"/>
      <c r="AC897" s="9"/>
    </row>
    <row r="898">
      <c r="A898" s="9"/>
      <c r="B898" s="19"/>
      <c r="C898" s="9"/>
      <c r="D898" s="9"/>
      <c r="E898" s="59"/>
      <c r="F898" s="9"/>
      <c r="G898" s="9"/>
      <c r="H898" s="59"/>
      <c r="I898" s="59"/>
      <c r="J898" s="59"/>
      <c r="K898" s="59"/>
      <c r="L898" s="59"/>
      <c r="M898" s="59"/>
      <c r="N898" s="21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10"/>
      <c r="AA898" s="74"/>
      <c r="AB898" s="59"/>
      <c r="AC898" s="9"/>
    </row>
    <row r="899">
      <c r="A899" s="9"/>
      <c r="B899" s="19"/>
      <c r="C899" s="9"/>
      <c r="D899" s="9"/>
      <c r="E899" s="59"/>
      <c r="F899" s="9"/>
      <c r="G899" s="9"/>
      <c r="H899" s="59"/>
      <c r="I899" s="59"/>
      <c r="J899" s="59"/>
      <c r="K899" s="59"/>
      <c r="L899" s="59"/>
      <c r="M899" s="59"/>
      <c r="N899" s="21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10"/>
      <c r="AA899" s="74"/>
      <c r="AB899" s="59"/>
      <c r="AC899" s="9"/>
    </row>
    <row r="900">
      <c r="A900" s="9"/>
      <c r="B900" s="19"/>
      <c r="C900" s="9"/>
      <c r="D900" s="9"/>
      <c r="E900" s="59"/>
      <c r="F900" s="9"/>
      <c r="G900" s="9"/>
      <c r="H900" s="59"/>
      <c r="I900" s="59"/>
      <c r="J900" s="59"/>
      <c r="K900" s="59"/>
      <c r="L900" s="59"/>
      <c r="M900" s="59"/>
      <c r="N900" s="21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10"/>
      <c r="AA900" s="74"/>
      <c r="AB900" s="59"/>
      <c r="AC900" s="9"/>
    </row>
    <row r="901">
      <c r="A901" s="9"/>
      <c r="B901" s="19"/>
      <c r="C901" s="9"/>
      <c r="D901" s="9"/>
      <c r="E901" s="59"/>
      <c r="F901" s="9"/>
      <c r="G901" s="9"/>
      <c r="H901" s="59"/>
      <c r="I901" s="59"/>
      <c r="J901" s="59"/>
      <c r="K901" s="59"/>
      <c r="L901" s="59"/>
      <c r="M901" s="59"/>
      <c r="N901" s="21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10"/>
      <c r="AA901" s="74"/>
      <c r="AB901" s="59"/>
      <c r="AC901" s="9"/>
    </row>
    <row r="902">
      <c r="A902" s="9"/>
      <c r="B902" s="19"/>
      <c r="C902" s="9"/>
      <c r="D902" s="9"/>
      <c r="E902" s="59"/>
      <c r="F902" s="9"/>
      <c r="G902" s="9"/>
      <c r="H902" s="59"/>
      <c r="I902" s="59"/>
      <c r="J902" s="59"/>
      <c r="K902" s="59"/>
      <c r="L902" s="59"/>
      <c r="M902" s="59"/>
      <c r="N902" s="21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10"/>
      <c r="AA902" s="74"/>
      <c r="AB902" s="59"/>
      <c r="AC902" s="9"/>
    </row>
    <row r="903">
      <c r="A903" s="9"/>
      <c r="B903" s="19"/>
      <c r="C903" s="9"/>
      <c r="D903" s="9"/>
      <c r="E903" s="59"/>
      <c r="F903" s="9"/>
      <c r="G903" s="9"/>
      <c r="H903" s="59"/>
      <c r="I903" s="59"/>
      <c r="J903" s="59"/>
      <c r="K903" s="59"/>
      <c r="L903" s="59"/>
      <c r="M903" s="59"/>
      <c r="N903" s="21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10"/>
      <c r="AA903" s="74"/>
      <c r="AB903" s="59"/>
      <c r="AC903" s="9"/>
    </row>
    <row r="904">
      <c r="A904" s="9"/>
      <c r="B904" s="19"/>
      <c r="C904" s="9"/>
      <c r="D904" s="9"/>
      <c r="E904" s="59"/>
      <c r="F904" s="9"/>
      <c r="G904" s="9"/>
      <c r="H904" s="59"/>
      <c r="I904" s="59"/>
      <c r="J904" s="59"/>
      <c r="K904" s="59"/>
      <c r="L904" s="59"/>
      <c r="M904" s="59"/>
      <c r="N904" s="21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10"/>
      <c r="AA904" s="74"/>
      <c r="AB904" s="59"/>
      <c r="AC904" s="9"/>
    </row>
    <row r="905">
      <c r="A905" s="9"/>
      <c r="B905" s="19"/>
      <c r="C905" s="9"/>
      <c r="D905" s="9"/>
      <c r="E905" s="59"/>
      <c r="F905" s="9"/>
      <c r="G905" s="9"/>
      <c r="H905" s="59"/>
      <c r="I905" s="59"/>
      <c r="J905" s="59"/>
      <c r="K905" s="59"/>
      <c r="L905" s="59"/>
      <c r="M905" s="59"/>
      <c r="N905" s="21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10"/>
      <c r="AA905" s="74"/>
      <c r="AB905" s="59"/>
      <c r="AC905" s="9"/>
    </row>
    <row r="906">
      <c r="A906" s="9"/>
      <c r="B906" s="19"/>
      <c r="C906" s="9"/>
      <c r="D906" s="9"/>
      <c r="E906" s="59"/>
      <c r="F906" s="9"/>
      <c r="G906" s="9"/>
      <c r="H906" s="59"/>
      <c r="I906" s="59"/>
      <c r="J906" s="59"/>
      <c r="K906" s="59"/>
      <c r="L906" s="59"/>
      <c r="M906" s="59"/>
      <c r="N906" s="21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10"/>
      <c r="AA906" s="74"/>
      <c r="AB906" s="59"/>
      <c r="AC906" s="9"/>
    </row>
    <row r="907">
      <c r="A907" s="9"/>
      <c r="B907" s="19"/>
      <c r="C907" s="9"/>
      <c r="D907" s="9"/>
      <c r="E907" s="59"/>
      <c r="F907" s="9"/>
      <c r="G907" s="9"/>
      <c r="H907" s="59"/>
      <c r="I907" s="59"/>
      <c r="J907" s="59"/>
      <c r="K907" s="59"/>
      <c r="L907" s="59"/>
      <c r="M907" s="59"/>
      <c r="N907" s="21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10"/>
      <c r="AA907" s="74"/>
      <c r="AB907" s="59"/>
      <c r="AC907" s="9"/>
    </row>
    <row r="908">
      <c r="A908" s="9"/>
      <c r="B908" s="19"/>
      <c r="C908" s="9"/>
      <c r="D908" s="9"/>
      <c r="E908" s="59"/>
      <c r="F908" s="9"/>
      <c r="G908" s="9"/>
      <c r="H908" s="59"/>
      <c r="I908" s="59"/>
      <c r="J908" s="59"/>
      <c r="K908" s="59"/>
      <c r="L908" s="59"/>
      <c r="M908" s="59"/>
      <c r="N908" s="21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10"/>
      <c r="AA908" s="74"/>
      <c r="AB908" s="59"/>
      <c r="AC908" s="9"/>
    </row>
    <row r="909">
      <c r="A909" s="9"/>
      <c r="B909" s="19"/>
      <c r="C909" s="9"/>
      <c r="D909" s="9"/>
      <c r="E909" s="59"/>
      <c r="F909" s="9"/>
      <c r="G909" s="9"/>
      <c r="H909" s="59"/>
      <c r="I909" s="59"/>
      <c r="J909" s="59"/>
      <c r="K909" s="59"/>
      <c r="L909" s="59"/>
      <c r="M909" s="59"/>
      <c r="N909" s="21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10"/>
      <c r="AA909" s="74"/>
      <c r="AB909" s="59"/>
      <c r="AC909" s="9"/>
    </row>
    <row r="910">
      <c r="A910" s="9"/>
      <c r="B910" s="19"/>
      <c r="C910" s="9"/>
      <c r="D910" s="9"/>
      <c r="E910" s="59"/>
      <c r="F910" s="9"/>
      <c r="G910" s="9"/>
      <c r="H910" s="59"/>
      <c r="I910" s="59"/>
      <c r="J910" s="59"/>
      <c r="K910" s="59"/>
      <c r="L910" s="59"/>
      <c r="M910" s="59"/>
      <c r="N910" s="21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10"/>
      <c r="AA910" s="74"/>
      <c r="AB910" s="59"/>
      <c r="AC910" s="9"/>
    </row>
    <row r="911">
      <c r="A911" s="9"/>
      <c r="B911" s="19"/>
      <c r="C911" s="9"/>
      <c r="D911" s="9"/>
      <c r="E911" s="59"/>
      <c r="F911" s="9"/>
      <c r="G911" s="9"/>
      <c r="H911" s="59"/>
      <c r="I911" s="59"/>
      <c r="J911" s="59"/>
      <c r="K911" s="59"/>
      <c r="L911" s="59"/>
      <c r="M911" s="59"/>
      <c r="N911" s="21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10"/>
      <c r="AA911" s="74"/>
      <c r="AB911" s="59"/>
      <c r="AC911" s="9"/>
    </row>
    <row r="912">
      <c r="A912" s="9"/>
      <c r="B912" s="19"/>
      <c r="C912" s="9"/>
      <c r="D912" s="9"/>
      <c r="E912" s="59"/>
      <c r="F912" s="9"/>
      <c r="G912" s="9"/>
      <c r="H912" s="59"/>
      <c r="I912" s="59"/>
      <c r="J912" s="59"/>
      <c r="K912" s="59"/>
      <c r="L912" s="59"/>
      <c r="M912" s="59"/>
      <c r="N912" s="21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10"/>
      <c r="AA912" s="74"/>
      <c r="AB912" s="59"/>
      <c r="AC912" s="9"/>
    </row>
    <row r="913">
      <c r="A913" s="9"/>
      <c r="B913" s="19"/>
      <c r="C913" s="9"/>
      <c r="D913" s="9"/>
      <c r="E913" s="59"/>
      <c r="F913" s="9"/>
      <c r="G913" s="9"/>
      <c r="H913" s="59"/>
      <c r="I913" s="59"/>
      <c r="J913" s="59"/>
      <c r="K913" s="59"/>
      <c r="L913" s="59"/>
      <c r="M913" s="59"/>
      <c r="N913" s="21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10"/>
      <c r="AA913" s="74"/>
      <c r="AB913" s="59"/>
      <c r="AC913" s="9"/>
    </row>
    <row r="914">
      <c r="A914" s="9"/>
      <c r="B914" s="19"/>
      <c r="C914" s="9"/>
      <c r="D914" s="9"/>
      <c r="E914" s="59"/>
      <c r="F914" s="9"/>
      <c r="G914" s="9"/>
      <c r="H914" s="59"/>
      <c r="I914" s="59"/>
      <c r="J914" s="59"/>
      <c r="K914" s="59"/>
      <c r="L914" s="59"/>
      <c r="M914" s="59"/>
      <c r="N914" s="21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10"/>
      <c r="AA914" s="74"/>
      <c r="AB914" s="59"/>
      <c r="AC914" s="9"/>
    </row>
    <row r="915">
      <c r="A915" s="9"/>
      <c r="B915" s="19"/>
      <c r="C915" s="9"/>
      <c r="D915" s="9"/>
      <c r="E915" s="59"/>
      <c r="F915" s="9"/>
      <c r="G915" s="9"/>
      <c r="H915" s="59"/>
      <c r="I915" s="59"/>
      <c r="J915" s="59"/>
      <c r="K915" s="59"/>
      <c r="L915" s="59"/>
      <c r="M915" s="59"/>
      <c r="N915" s="21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10"/>
      <c r="AA915" s="74"/>
      <c r="AB915" s="59"/>
      <c r="AC915" s="9"/>
    </row>
    <row r="916">
      <c r="A916" s="9"/>
      <c r="B916" s="19"/>
      <c r="C916" s="9"/>
      <c r="D916" s="9"/>
      <c r="E916" s="59"/>
      <c r="F916" s="9"/>
      <c r="G916" s="9"/>
      <c r="H916" s="59"/>
      <c r="I916" s="59"/>
      <c r="J916" s="59"/>
      <c r="K916" s="59"/>
      <c r="L916" s="59"/>
      <c r="M916" s="59"/>
      <c r="N916" s="21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10"/>
      <c r="AA916" s="74"/>
      <c r="AB916" s="59"/>
      <c r="AC916" s="9"/>
    </row>
    <row r="917">
      <c r="A917" s="9"/>
      <c r="B917" s="19"/>
      <c r="C917" s="9"/>
      <c r="D917" s="9"/>
      <c r="E917" s="59"/>
      <c r="F917" s="9"/>
      <c r="G917" s="9"/>
      <c r="H917" s="59"/>
      <c r="I917" s="59"/>
      <c r="J917" s="59"/>
      <c r="K917" s="59"/>
      <c r="L917" s="59"/>
      <c r="M917" s="59"/>
      <c r="N917" s="21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10"/>
      <c r="AA917" s="74"/>
      <c r="AB917" s="59"/>
      <c r="AC917" s="9"/>
    </row>
    <row r="918">
      <c r="A918" s="9"/>
      <c r="B918" s="19"/>
      <c r="C918" s="9"/>
      <c r="D918" s="9"/>
      <c r="E918" s="59"/>
      <c r="F918" s="9"/>
      <c r="G918" s="9"/>
      <c r="H918" s="59"/>
      <c r="I918" s="59"/>
      <c r="J918" s="59"/>
      <c r="K918" s="59"/>
      <c r="L918" s="59"/>
      <c r="M918" s="59"/>
      <c r="N918" s="21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10"/>
      <c r="AA918" s="74"/>
      <c r="AB918" s="59"/>
      <c r="AC918" s="9"/>
    </row>
    <row r="919">
      <c r="A919" s="9"/>
      <c r="B919" s="19"/>
      <c r="C919" s="9"/>
      <c r="D919" s="9"/>
      <c r="E919" s="59"/>
      <c r="F919" s="9"/>
      <c r="G919" s="9"/>
      <c r="H919" s="59"/>
      <c r="I919" s="59"/>
      <c r="J919" s="59"/>
      <c r="K919" s="59"/>
      <c r="L919" s="59"/>
      <c r="M919" s="59"/>
      <c r="N919" s="21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10"/>
      <c r="AA919" s="74"/>
      <c r="AB919" s="59"/>
      <c r="AC919" s="9"/>
    </row>
    <row r="920">
      <c r="A920" s="9"/>
      <c r="B920" s="19"/>
      <c r="C920" s="9"/>
      <c r="D920" s="9"/>
      <c r="E920" s="59"/>
      <c r="F920" s="9"/>
      <c r="G920" s="9"/>
      <c r="H920" s="59"/>
      <c r="I920" s="59"/>
      <c r="J920" s="59"/>
      <c r="K920" s="59"/>
      <c r="L920" s="59"/>
      <c r="M920" s="59"/>
      <c r="N920" s="21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10"/>
      <c r="AA920" s="74"/>
      <c r="AB920" s="59"/>
      <c r="AC920" s="9"/>
    </row>
    <row r="921">
      <c r="A921" s="9"/>
      <c r="B921" s="19"/>
      <c r="C921" s="9"/>
      <c r="D921" s="9"/>
      <c r="E921" s="59"/>
      <c r="F921" s="9"/>
      <c r="G921" s="9"/>
      <c r="H921" s="59"/>
      <c r="I921" s="59"/>
      <c r="J921" s="59"/>
      <c r="K921" s="59"/>
      <c r="L921" s="59"/>
      <c r="M921" s="59"/>
      <c r="N921" s="21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10"/>
      <c r="AA921" s="74"/>
      <c r="AB921" s="59"/>
      <c r="AC921" s="9"/>
    </row>
    <row r="922">
      <c r="A922" s="9"/>
      <c r="B922" s="19"/>
      <c r="C922" s="9"/>
      <c r="D922" s="9"/>
      <c r="E922" s="59"/>
      <c r="F922" s="9"/>
      <c r="G922" s="9"/>
      <c r="H922" s="59"/>
      <c r="I922" s="59"/>
      <c r="J922" s="59"/>
      <c r="K922" s="59"/>
      <c r="L922" s="59"/>
      <c r="M922" s="59"/>
      <c r="N922" s="21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10"/>
      <c r="AA922" s="74"/>
      <c r="AB922" s="59"/>
      <c r="AC922" s="9"/>
    </row>
    <row r="923">
      <c r="A923" s="9"/>
      <c r="B923" s="19"/>
      <c r="C923" s="9"/>
      <c r="D923" s="9"/>
      <c r="E923" s="59"/>
      <c r="F923" s="9"/>
      <c r="G923" s="9"/>
      <c r="H923" s="59"/>
      <c r="I923" s="59"/>
      <c r="J923" s="59"/>
      <c r="K923" s="59"/>
      <c r="L923" s="59"/>
      <c r="M923" s="59"/>
      <c r="N923" s="21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10"/>
      <c r="AA923" s="74"/>
      <c r="AB923" s="59"/>
      <c r="AC923" s="9"/>
    </row>
    <row r="924">
      <c r="A924" s="9"/>
      <c r="B924" s="19"/>
      <c r="C924" s="9"/>
      <c r="D924" s="9"/>
      <c r="E924" s="59"/>
      <c r="F924" s="9"/>
      <c r="G924" s="9"/>
      <c r="H924" s="59"/>
      <c r="I924" s="59"/>
      <c r="J924" s="59"/>
      <c r="K924" s="59"/>
      <c r="L924" s="59"/>
      <c r="M924" s="59"/>
      <c r="N924" s="21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10"/>
      <c r="AA924" s="74"/>
      <c r="AB924" s="59"/>
      <c r="AC924" s="9"/>
    </row>
    <row r="925">
      <c r="A925" s="9"/>
      <c r="B925" s="19"/>
      <c r="C925" s="9"/>
      <c r="D925" s="9"/>
      <c r="E925" s="59"/>
      <c r="F925" s="9"/>
      <c r="G925" s="9"/>
      <c r="H925" s="59"/>
      <c r="I925" s="59"/>
      <c r="J925" s="59"/>
      <c r="K925" s="59"/>
      <c r="L925" s="59"/>
      <c r="M925" s="59"/>
      <c r="N925" s="21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10"/>
      <c r="AA925" s="74"/>
      <c r="AB925" s="59"/>
      <c r="AC925" s="9"/>
    </row>
    <row r="926">
      <c r="A926" s="9"/>
      <c r="B926" s="19"/>
      <c r="C926" s="9"/>
      <c r="D926" s="9"/>
      <c r="E926" s="59"/>
      <c r="F926" s="9"/>
      <c r="G926" s="9"/>
      <c r="H926" s="59"/>
      <c r="I926" s="59"/>
      <c r="J926" s="59"/>
      <c r="K926" s="59"/>
      <c r="L926" s="59"/>
      <c r="M926" s="59"/>
      <c r="N926" s="21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10"/>
      <c r="AA926" s="74"/>
      <c r="AB926" s="59"/>
      <c r="AC926" s="9"/>
    </row>
    <row r="927">
      <c r="A927" s="9"/>
      <c r="B927" s="19"/>
      <c r="C927" s="9"/>
      <c r="D927" s="9"/>
      <c r="E927" s="59"/>
      <c r="F927" s="9"/>
      <c r="G927" s="9"/>
      <c r="H927" s="59"/>
      <c r="I927" s="59"/>
      <c r="J927" s="59"/>
      <c r="K927" s="59"/>
      <c r="L927" s="59"/>
      <c r="M927" s="59"/>
      <c r="N927" s="21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10"/>
      <c r="AA927" s="74"/>
      <c r="AB927" s="59"/>
      <c r="AC927" s="9"/>
    </row>
    <row r="928">
      <c r="A928" s="9"/>
      <c r="B928" s="19"/>
      <c r="C928" s="9"/>
      <c r="D928" s="9"/>
      <c r="E928" s="59"/>
      <c r="F928" s="9"/>
      <c r="G928" s="9"/>
      <c r="H928" s="59"/>
      <c r="I928" s="59"/>
      <c r="J928" s="59"/>
      <c r="K928" s="59"/>
      <c r="L928" s="59"/>
      <c r="M928" s="59"/>
      <c r="N928" s="21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10"/>
      <c r="AA928" s="74"/>
      <c r="AB928" s="59"/>
      <c r="AC928" s="9"/>
    </row>
    <row r="929">
      <c r="A929" s="9"/>
      <c r="B929" s="19"/>
      <c r="C929" s="9"/>
      <c r="D929" s="9"/>
      <c r="E929" s="59"/>
      <c r="F929" s="9"/>
      <c r="G929" s="9"/>
      <c r="H929" s="59"/>
      <c r="I929" s="59"/>
      <c r="J929" s="59"/>
      <c r="K929" s="59"/>
      <c r="L929" s="59"/>
      <c r="M929" s="59"/>
      <c r="N929" s="21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10"/>
      <c r="AA929" s="74"/>
      <c r="AB929" s="59"/>
      <c r="AC929" s="9"/>
    </row>
    <row r="930">
      <c r="A930" s="9"/>
      <c r="B930" s="19"/>
      <c r="C930" s="9"/>
      <c r="D930" s="9"/>
      <c r="E930" s="59"/>
      <c r="F930" s="9"/>
      <c r="G930" s="9"/>
      <c r="H930" s="59"/>
      <c r="I930" s="59"/>
      <c r="J930" s="59"/>
      <c r="K930" s="59"/>
      <c r="L930" s="59"/>
      <c r="M930" s="59"/>
      <c r="N930" s="21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10"/>
      <c r="AA930" s="74"/>
      <c r="AB930" s="59"/>
      <c r="AC930" s="9"/>
    </row>
    <row r="931">
      <c r="A931" s="9"/>
      <c r="B931" s="19"/>
      <c r="C931" s="9"/>
      <c r="D931" s="9"/>
      <c r="E931" s="59"/>
      <c r="F931" s="9"/>
      <c r="G931" s="9"/>
      <c r="H931" s="59"/>
      <c r="I931" s="59"/>
      <c r="J931" s="59"/>
      <c r="K931" s="59"/>
      <c r="L931" s="59"/>
      <c r="M931" s="59"/>
      <c r="N931" s="21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10"/>
      <c r="AA931" s="74"/>
      <c r="AB931" s="59"/>
      <c r="AC931" s="9"/>
    </row>
    <row r="932">
      <c r="A932" s="9"/>
      <c r="B932" s="19"/>
      <c r="C932" s="9"/>
      <c r="D932" s="9"/>
      <c r="E932" s="59"/>
      <c r="F932" s="9"/>
      <c r="G932" s="9"/>
      <c r="H932" s="59"/>
      <c r="I932" s="59"/>
      <c r="J932" s="59"/>
      <c r="K932" s="59"/>
      <c r="L932" s="59"/>
      <c r="M932" s="59"/>
      <c r="N932" s="21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10"/>
      <c r="AA932" s="74"/>
      <c r="AB932" s="59"/>
      <c r="AC932" s="9"/>
    </row>
    <row r="933">
      <c r="A933" s="9"/>
      <c r="B933" s="19"/>
      <c r="C933" s="9"/>
      <c r="D933" s="9"/>
      <c r="E933" s="59"/>
      <c r="F933" s="9"/>
      <c r="G933" s="9"/>
      <c r="H933" s="59"/>
      <c r="I933" s="59"/>
      <c r="J933" s="59"/>
      <c r="K933" s="59"/>
      <c r="L933" s="59"/>
      <c r="M933" s="59"/>
      <c r="N933" s="21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10"/>
      <c r="AA933" s="74"/>
      <c r="AB933" s="59"/>
      <c r="AC933" s="9"/>
    </row>
    <row r="934">
      <c r="A934" s="9"/>
      <c r="B934" s="19"/>
      <c r="C934" s="9"/>
      <c r="D934" s="9"/>
      <c r="E934" s="59"/>
      <c r="F934" s="9"/>
      <c r="G934" s="9"/>
      <c r="H934" s="59"/>
      <c r="I934" s="59"/>
      <c r="J934" s="59"/>
      <c r="K934" s="59"/>
      <c r="L934" s="59"/>
      <c r="M934" s="59"/>
      <c r="N934" s="21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10"/>
      <c r="AA934" s="74"/>
      <c r="AB934" s="59"/>
      <c r="AC934" s="9"/>
    </row>
    <row r="935">
      <c r="A935" s="9"/>
      <c r="B935" s="19"/>
      <c r="C935" s="9"/>
      <c r="D935" s="9"/>
      <c r="E935" s="59"/>
      <c r="F935" s="9"/>
      <c r="G935" s="9"/>
      <c r="H935" s="59"/>
      <c r="I935" s="59"/>
      <c r="J935" s="59"/>
      <c r="K935" s="59"/>
      <c r="L935" s="59"/>
      <c r="M935" s="59"/>
      <c r="N935" s="21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10"/>
      <c r="AA935" s="74"/>
      <c r="AB935" s="59"/>
      <c r="AC935" s="9"/>
    </row>
    <row r="936">
      <c r="A936" s="9"/>
      <c r="B936" s="19"/>
      <c r="C936" s="9"/>
      <c r="D936" s="9"/>
      <c r="E936" s="59"/>
      <c r="F936" s="9"/>
      <c r="G936" s="9"/>
      <c r="H936" s="59"/>
      <c r="I936" s="59"/>
      <c r="J936" s="59"/>
      <c r="K936" s="59"/>
      <c r="L936" s="59"/>
      <c r="M936" s="59"/>
      <c r="N936" s="21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10"/>
      <c r="AA936" s="74"/>
      <c r="AB936" s="59"/>
      <c r="AC936" s="9"/>
    </row>
    <row r="937">
      <c r="A937" s="9"/>
      <c r="B937" s="19"/>
      <c r="C937" s="9"/>
      <c r="D937" s="9"/>
      <c r="E937" s="59"/>
      <c r="F937" s="9"/>
      <c r="G937" s="9"/>
      <c r="H937" s="59"/>
      <c r="I937" s="59"/>
      <c r="J937" s="59"/>
      <c r="K937" s="59"/>
      <c r="L937" s="59"/>
      <c r="M937" s="59"/>
      <c r="N937" s="21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10"/>
      <c r="AA937" s="74"/>
      <c r="AB937" s="59"/>
      <c r="AC937" s="9"/>
    </row>
    <row r="938">
      <c r="A938" s="9"/>
      <c r="B938" s="19"/>
      <c r="C938" s="9"/>
      <c r="D938" s="9"/>
      <c r="E938" s="59"/>
      <c r="F938" s="9"/>
      <c r="G938" s="9"/>
      <c r="H938" s="59"/>
      <c r="I938" s="59"/>
      <c r="J938" s="59"/>
      <c r="K938" s="59"/>
      <c r="L938" s="59"/>
      <c r="M938" s="59"/>
      <c r="N938" s="21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10"/>
      <c r="AA938" s="74"/>
      <c r="AB938" s="59"/>
      <c r="AC938" s="9"/>
    </row>
    <row r="939">
      <c r="A939" s="9"/>
      <c r="B939" s="19"/>
      <c r="C939" s="9"/>
      <c r="D939" s="9"/>
      <c r="E939" s="59"/>
      <c r="F939" s="9"/>
      <c r="G939" s="9"/>
      <c r="H939" s="59"/>
      <c r="I939" s="59"/>
      <c r="J939" s="59"/>
      <c r="K939" s="59"/>
      <c r="L939" s="59"/>
      <c r="M939" s="59"/>
      <c r="N939" s="21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10"/>
      <c r="AA939" s="74"/>
      <c r="AB939" s="59"/>
      <c r="AC939" s="9"/>
    </row>
    <row r="940">
      <c r="A940" s="9"/>
      <c r="B940" s="19"/>
      <c r="C940" s="9"/>
      <c r="D940" s="9"/>
      <c r="E940" s="59"/>
      <c r="F940" s="9"/>
      <c r="G940" s="9"/>
      <c r="H940" s="59"/>
      <c r="I940" s="59"/>
      <c r="J940" s="59"/>
      <c r="K940" s="59"/>
      <c r="L940" s="59"/>
      <c r="M940" s="59"/>
      <c r="N940" s="21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10"/>
      <c r="AA940" s="74"/>
      <c r="AB940" s="59"/>
      <c r="AC940" s="9"/>
    </row>
    <row r="941">
      <c r="A941" s="9"/>
      <c r="B941" s="19"/>
      <c r="C941" s="9"/>
      <c r="D941" s="9"/>
      <c r="E941" s="59"/>
      <c r="F941" s="9"/>
      <c r="G941" s="9"/>
      <c r="H941" s="59"/>
      <c r="I941" s="59"/>
      <c r="J941" s="59"/>
      <c r="K941" s="59"/>
      <c r="L941" s="59"/>
      <c r="M941" s="59"/>
      <c r="N941" s="21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10"/>
      <c r="AA941" s="74"/>
      <c r="AB941" s="59"/>
      <c r="AC941" s="9"/>
    </row>
    <row r="942">
      <c r="A942" s="9"/>
      <c r="B942" s="19"/>
      <c r="C942" s="9"/>
      <c r="D942" s="9"/>
      <c r="E942" s="59"/>
      <c r="F942" s="9"/>
      <c r="G942" s="9"/>
      <c r="H942" s="59"/>
      <c r="I942" s="59"/>
      <c r="J942" s="59"/>
      <c r="K942" s="59"/>
      <c r="L942" s="59"/>
      <c r="M942" s="59"/>
      <c r="N942" s="21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10"/>
      <c r="AA942" s="74"/>
      <c r="AB942" s="59"/>
      <c r="AC942" s="9"/>
    </row>
    <row r="943">
      <c r="A943" s="9"/>
      <c r="B943" s="19"/>
      <c r="C943" s="9"/>
      <c r="D943" s="9"/>
      <c r="E943" s="59"/>
      <c r="F943" s="9"/>
      <c r="G943" s="9"/>
      <c r="H943" s="59"/>
      <c r="I943" s="59"/>
      <c r="J943" s="59"/>
      <c r="K943" s="59"/>
      <c r="L943" s="59"/>
      <c r="M943" s="59"/>
      <c r="N943" s="21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10"/>
      <c r="AA943" s="74"/>
      <c r="AB943" s="59"/>
      <c r="AC943" s="9"/>
    </row>
    <row r="944">
      <c r="A944" s="9"/>
      <c r="B944" s="19"/>
      <c r="C944" s="9"/>
      <c r="D944" s="9"/>
      <c r="E944" s="59"/>
      <c r="F944" s="9"/>
      <c r="G944" s="9"/>
      <c r="H944" s="59"/>
      <c r="I944" s="59"/>
      <c r="J944" s="59"/>
      <c r="K944" s="59"/>
      <c r="L944" s="59"/>
      <c r="M944" s="59"/>
      <c r="N944" s="21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10"/>
      <c r="AA944" s="74"/>
      <c r="AB944" s="59"/>
      <c r="AC944" s="9"/>
    </row>
    <row r="945">
      <c r="A945" s="9"/>
      <c r="B945" s="19"/>
      <c r="C945" s="9"/>
      <c r="D945" s="9"/>
      <c r="E945" s="59"/>
      <c r="F945" s="9"/>
      <c r="G945" s="9"/>
      <c r="H945" s="59"/>
      <c r="I945" s="59"/>
      <c r="J945" s="59"/>
      <c r="K945" s="59"/>
      <c r="L945" s="59"/>
      <c r="M945" s="59"/>
      <c r="N945" s="21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10"/>
      <c r="AA945" s="74"/>
      <c r="AB945" s="59"/>
      <c r="AC945" s="9"/>
    </row>
    <row r="946">
      <c r="A946" s="9"/>
      <c r="B946" s="19"/>
      <c r="C946" s="9"/>
      <c r="D946" s="9"/>
      <c r="E946" s="59"/>
      <c r="F946" s="9"/>
      <c r="G946" s="9"/>
      <c r="H946" s="59"/>
      <c r="I946" s="59"/>
      <c r="J946" s="59"/>
      <c r="K946" s="59"/>
      <c r="L946" s="59"/>
      <c r="M946" s="59"/>
      <c r="N946" s="21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10"/>
      <c r="AA946" s="74"/>
      <c r="AB946" s="59"/>
      <c r="AC946" s="9"/>
    </row>
    <row r="947">
      <c r="A947" s="9"/>
      <c r="B947" s="19"/>
      <c r="C947" s="9"/>
      <c r="D947" s="9"/>
      <c r="E947" s="59"/>
      <c r="F947" s="9"/>
      <c r="G947" s="9"/>
      <c r="H947" s="59"/>
      <c r="I947" s="59"/>
      <c r="J947" s="59"/>
      <c r="K947" s="59"/>
      <c r="L947" s="59"/>
      <c r="M947" s="59"/>
      <c r="N947" s="21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10"/>
      <c r="AA947" s="74"/>
      <c r="AB947" s="59"/>
      <c r="AC947" s="9"/>
    </row>
    <row r="948">
      <c r="A948" s="9"/>
      <c r="B948" s="19"/>
      <c r="C948" s="9"/>
      <c r="D948" s="9"/>
      <c r="E948" s="59"/>
      <c r="F948" s="9"/>
      <c r="G948" s="9"/>
      <c r="H948" s="59"/>
      <c r="I948" s="59"/>
      <c r="J948" s="59"/>
      <c r="K948" s="59"/>
      <c r="L948" s="59"/>
      <c r="M948" s="59"/>
      <c r="N948" s="21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10"/>
      <c r="AA948" s="74"/>
      <c r="AB948" s="59"/>
      <c r="AC948" s="9"/>
    </row>
    <row r="949">
      <c r="A949" s="9"/>
      <c r="B949" s="19"/>
      <c r="C949" s="9"/>
      <c r="D949" s="9"/>
      <c r="E949" s="59"/>
      <c r="F949" s="9"/>
      <c r="G949" s="9"/>
      <c r="H949" s="59"/>
      <c r="I949" s="59"/>
      <c r="J949" s="59"/>
      <c r="K949" s="59"/>
      <c r="L949" s="59"/>
      <c r="M949" s="59"/>
      <c r="N949" s="21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10"/>
      <c r="AA949" s="74"/>
      <c r="AB949" s="59"/>
      <c r="AC949" s="9"/>
    </row>
    <row r="950">
      <c r="A950" s="9"/>
      <c r="B950" s="19"/>
      <c r="C950" s="9"/>
      <c r="D950" s="9"/>
      <c r="E950" s="59"/>
      <c r="F950" s="9"/>
      <c r="G950" s="9"/>
      <c r="H950" s="59"/>
      <c r="I950" s="59"/>
      <c r="J950" s="59"/>
      <c r="K950" s="59"/>
      <c r="L950" s="59"/>
      <c r="M950" s="59"/>
      <c r="N950" s="21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10"/>
      <c r="AA950" s="74"/>
      <c r="AB950" s="59"/>
      <c r="AC950" s="9"/>
    </row>
    <row r="951">
      <c r="A951" s="9"/>
      <c r="B951" s="19"/>
      <c r="C951" s="9"/>
      <c r="D951" s="9"/>
      <c r="E951" s="59"/>
      <c r="F951" s="9"/>
      <c r="G951" s="9"/>
      <c r="H951" s="59"/>
      <c r="I951" s="59"/>
      <c r="J951" s="59"/>
      <c r="K951" s="59"/>
      <c r="L951" s="59"/>
      <c r="M951" s="59"/>
      <c r="N951" s="21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10"/>
      <c r="AA951" s="74"/>
      <c r="AB951" s="59"/>
      <c r="AC951" s="9"/>
    </row>
    <row r="952">
      <c r="A952" s="9"/>
      <c r="B952" s="19"/>
      <c r="C952" s="9"/>
      <c r="D952" s="9"/>
      <c r="E952" s="59"/>
      <c r="F952" s="9"/>
      <c r="G952" s="9"/>
      <c r="H952" s="59"/>
      <c r="I952" s="59"/>
      <c r="J952" s="59"/>
      <c r="K952" s="59"/>
      <c r="L952" s="59"/>
      <c r="M952" s="59"/>
      <c r="N952" s="21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10"/>
      <c r="AA952" s="74"/>
      <c r="AB952" s="59"/>
      <c r="AC952" s="9"/>
    </row>
    <row r="953">
      <c r="A953" s="9"/>
      <c r="B953" s="19"/>
      <c r="C953" s="9"/>
      <c r="D953" s="9"/>
      <c r="E953" s="59"/>
      <c r="F953" s="9"/>
      <c r="G953" s="9"/>
      <c r="H953" s="59"/>
      <c r="I953" s="59"/>
      <c r="J953" s="59"/>
      <c r="K953" s="59"/>
      <c r="L953" s="59"/>
      <c r="M953" s="59"/>
      <c r="N953" s="21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10"/>
      <c r="AA953" s="74"/>
      <c r="AB953" s="59"/>
      <c r="AC953" s="9"/>
    </row>
    <row r="954">
      <c r="A954" s="9"/>
      <c r="B954" s="19"/>
      <c r="C954" s="9"/>
      <c r="D954" s="9"/>
      <c r="E954" s="59"/>
      <c r="F954" s="9"/>
      <c r="G954" s="9"/>
      <c r="H954" s="59"/>
      <c r="I954" s="59"/>
      <c r="J954" s="59"/>
      <c r="K954" s="59"/>
      <c r="L954" s="59"/>
      <c r="M954" s="59"/>
      <c r="N954" s="21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10"/>
      <c r="AA954" s="74"/>
      <c r="AB954" s="59"/>
      <c r="AC954" s="9"/>
    </row>
    <row r="955">
      <c r="A955" s="9"/>
      <c r="B955" s="19"/>
      <c r="C955" s="9"/>
      <c r="D955" s="9"/>
      <c r="E955" s="59"/>
      <c r="F955" s="9"/>
      <c r="G955" s="9"/>
      <c r="H955" s="59"/>
      <c r="I955" s="59"/>
      <c r="J955" s="59"/>
      <c r="K955" s="59"/>
      <c r="L955" s="59"/>
      <c r="M955" s="59"/>
      <c r="N955" s="21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10"/>
      <c r="AA955" s="74"/>
      <c r="AB955" s="59"/>
      <c r="AC955" s="9"/>
    </row>
    <row r="956">
      <c r="A956" s="9"/>
      <c r="B956" s="19"/>
      <c r="C956" s="9"/>
      <c r="D956" s="9"/>
      <c r="E956" s="59"/>
      <c r="F956" s="9"/>
      <c r="G956" s="9"/>
      <c r="H956" s="59"/>
      <c r="I956" s="59"/>
      <c r="J956" s="59"/>
      <c r="K956" s="59"/>
      <c r="L956" s="59"/>
      <c r="M956" s="59"/>
      <c r="N956" s="21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10"/>
      <c r="AA956" s="74"/>
      <c r="AB956" s="59"/>
      <c r="AC956" s="9"/>
    </row>
    <row r="957">
      <c r="A957" s="9"/>
      <c r="B957" s="19"/>
      <c r="C957" s="9"/>
      <c r="D957" s="9"/>
      <c r="E957" s="59"/>
      <c r="F957" s="9"/>
      <c r="G957" s="9"/>
      <c r="H957" s="59"/>
      <c r="I957" s="59"/>
      <c r="J957" s="59"/>
      <c r="K957" s="59"/>
      <c r="L957" s="59"/>
      <c r="M957" s="59"/>
      <c r="N957" s="21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10"/>
      <c r="AA957" s="74"/>
      <c r="AB957" s="59"/>
      <c r="AC957" s="9"/>
    </row>
    <row r="958">
      <c r="A958" s="9"/>
      <c r="B958" s="19"/>
      <c r="C958" s="9"/>
      <c r="D958" s="9"/>
      <c r="E958" s="59"/>
      <c r="F958" s="9"/>
      <c r="G958" s="9"/>
      <c r="H958" s="59"/>
      <c r="I958" s="59"/>
      <c r="J958" s="59"/>
      <c r="K958" s="59"/>
      <c r="L958" s="59"/>
      <c r="M958" s="59"/>
      <c r="N958" s="21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10"/>
      <c r="AA958" s="74"/>
      <c r="AB958" s="59"/>
      <c r="AC958" s="9"/>
    </row>
    <row r="959">
      <c r="A959" s="9"/>
      <c r="B959" s="19"/>
      <c r="C959" s="9"/>
      <c r="D959" s="9"/>
      <c r="E959" s="59"/>
      <c r="F959" s="9"/>
      <c r="G959" s="9"/>
      <c r="H959" s="59"/>
      <c r="I959" s="59"/>
      <c r="J959" s="59"/>
      <c r="K959" s="59"/>
      <c r="L959" s="59"/>
      <c r="M959" s="59"/>
      <c r="N959" s="21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10"/>
      <c r="AA959" s="74"/>
      <c r="AB959" s="59"/>
      <c r="AC959" s="9"/>
    </row>
    <row r="960">
      <c r="A960" s="9"/>
      <c r="B960" s="19"/>
      <c r="C960" s="9"/>
      <c r="D960" s="9"/>
      <c r="E960" s="59"/>
      <c r="F960" s="9"/>
      <c r="G960" s="9"/>
      <c r="H960" s="59"/>
      <c r="I960" s="59"/>
      <c r="J960" s="59"/>
      <c r="K960" s="59"/>
      <c r="L960" s="59"/>
      <c r="M960" s="59"/>
      <c r="N960" s="21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10"/>
      <c r="AA960" s="74"/>
      <c r="AB960" s="59"/>
      <c r="AC960" s="9"/>
    </row>
    <row r="961">
      <c r="A961" s="9"/>
      <c r="B961" s="19"/>
      <c r="C961" s="9"/>
      <c r="D961" s="9"/>
      <c r="E961" s="59"/>
      <c r="F961" s="9"/>
      <c r="G961" s="9"/>
      <c r="H961" s="59"/>
      <c r="I961" s="59"/>
      <c r="J961" s="59"/>
      <c r="K961" s="59"/>
      <c r="L961" s="59"/>
      <c r="M961" s="59"/>
      <c r="N961" s="21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10"/>
      <c r="AA961" s="74"/>
      <c r="AB961" s="59"/>
      <c r="AC961" s="9"/>
    </row>
    <row r="962">
      <c r="A962" s="9"/>
      <c r="B962" s="19"/>
      <c r="C962" s="9"/>
      <c r="D962" s="9"/>
      <c r="E962" s="59"/>
      <c r="F962" s="9"/>
      <c r="G962" s="9"/>
      <c r="H962" s="59"/>
      <c r="I962" s="59"/>
      <c r="J962" s="59"/>
      <c r="K962" s="59"/>
      <c r="L962" s="59"/>
      <c r="M962" s="59"/>
      <c r="N962" s="21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10"/>
      <c r="AA962" s="74"/>
      <c r="AB962" s="59"/>
      <c r="AC962" s="9"/>
    </row>
    <row r="963">
      <c r="A963" s="9"/>
      <c r="B963" s="19"/>
      <c r="C963" s="9"/>
      <c r="D963" s="9"/>
      <c r="E963" s="59"/>
      <c r="F963" s="9"/>
      <c r="G963" s="9"/>
      <c r="H963" s="59"/>
      <c r="I963" s="59"/>
      <c r="J963" s="59"/>
      <c r="K963" s="59"/>
      <c r="L963" s="59"/>
      <c r="M963" s="59"/>
      <c r="N963" s="21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10"/>
      <c r="AA963" s="74"/>
      <c r="AB963" s="59"/>
      <c r="AC963" s="9"/>
    </row>
    <row r="964">
      <c r="A964" s="9"/>
      <c r="B964" s="19"/>
      <c r="C964" s="9"/>
      <c r="D964" s="9"/>
      <c r="E964" s="59"/>
      <c r="F964" s="9"/>
      <c r="G964" s="9"/>
      <c r="H964" s="59"/>
      <c r="I964" s="59"/>
      <c r="J964" s="59"/>
      <c r="K964" s="59"/>
      <c r="L964" s="59"/>
      <c r="M964" s="59"/>
      <c r="N964" s="21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10"/>
      <c r="AA964" s="74"/>
      <c r="AB964" s="59"/>
      <c r="AC964" s="9"/>
    </row>
    <row r="965">
      <c r="A965" s="9"/>
      <c r="B965" s="19"/>
      <c r="C965" s="9"/>
      <c r="D965" s="9"/>
      <c r="E965" s="59"/>
      <c r="F965" s="9"/>
      <c r="G965" s="9"/>
      <c r="H965" s="59"/>
      <c r="I965" s="59"/>
      <c r="J965" s="59"/>
      <c r="K965" s="59"/>
      <c r="L965" s="59"/>
      <c r="M965" s="59"/>
      <c r="N965" s="21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10"/>
      <c r="AA965" s="74"/>
      <c r="AB965" s="59"/>
      <c r="AC965" s="9"/>
    </row>
    <row r="966">
      <c r="A966" s="9"/>
      <c r="B966" s="19"/>
      <c r="C966" s="9"/>
      <c r="D966" s="9"/>
      <c r="E966" s="59"/>
      <c r="F966" s="9"/>
      <c r="G966" s="9"/>
      <c r="H966" s="59"/>
      <c r="I966" s="59"/>
      <c r="J966" s="59"/>
      <c r="K966" s="59"/>
      <c r="L966" s="59"/>
      <c r="M966" s="59"/>
      <c r="N966" s="21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10"/>
      <c r="AA966" s="74"/>
      <c r="AB966" s="59"/>
      <c r="AC966" s="9"/>
    </row>
    <row r="967">
      <c r="A967" s="9"/>
      <c r="B967" s="19"/>
      <c r="C967" s="9"/>
      <c r="D967" s="9"/>
      <c r="E967" s="59"/>
      <c r="F967" s="9"/>
      <c r="G967" s="9"/>
      <c r="H967" s="59"/>
      <c r="I967" s="59"/>
      <c r="J967" s="59"/>
      <c r="K967" s="59"/>
      <c r="L967" s="59"/>
      <c r="M967" s="59"/>
      <c r="N967" s="21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10"/>
      <c r="AA967" s="74"/>
      <c r="AB967" s="59"/>
      <c r="AC967" s="9"/>
    </row>
    <row r="968">
      <c r="A968" s="9"/>
      <c r="B968" s="19"/>
      <c r="C968" s="9"/>
      <c r="D968" s="9"/>
      <c r="E968" s="59"/>
      <c r="F968" s="9"/>
      <c r="G968" s="9"/>
      <c r="H968" s="59"/>
      <c r="I968" s="59"/>
      <c r="J968" s="59"/>
      <c r="K968" s="59"/>
      <c r="L968" s="59"/>
      <c r="M968" s="59"/>
      <c r="N968" s="21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10"/>
      <c r="AA968" s="74"/>
      <c r="AB968" s="59"/>
      <c r="AC968" s="9"/>
    </row>
    <row r="969">
      <c r="A969" s="9"/>
      <c r="B969" s="19"/>
      <c r="C969" s="9"/>
      <c r="D969" s="9"/>
      <c r="E969" s="59"/>
      <c r="F969" s="9"/>
      <c r="G969" s="9"/>
      <c r="H969" s="59"/>
      <c r="I969" s="59"/>
      <c r="J969" s="59"/>
      <c r="K969" s="59"/>
      <c r="L969" s="59"/>
      <c r="M969" s="59"/>
      <c r="N969" s="21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10"/>
      <c r="AA969" s="74"/>
      <c r="AB969" s="59"/>
      <c r="AC969" s="9"/>
    </row>
    <row r="970">
      <c r="A970" s="9"/>
      <c r="B970" s="19"/>
      <c r="C970" s="9"/>
      <c r="D970" s="9"/>
      <c r="E970" s="59"/>
      <c r="F970" s="9"/>
      <c r="G970" s="9"/>
      <c r="H970" s="59"/>
      <c r="I970" s="59"/>
      <c r="J970" s="59"/>
      <c r="K970" s="59"/>
      <c r="L970" s="59"/>
      <c r="M970" s="59"/>
      <c r="N970" s="21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10"/>
      <c r="AA970" s="74"/>
      <c r="AB970" s="59"/>
      <c r="AC970" s="9"/>
    </row>
    <row r="971">
      <c r="A971" s="9"/>
      <c r="B971" s="19"/>
      <c r="C971" s="9"/>
      <c r="D971" s="9"/>
      <c r="E971" s="59"/>
      <c r="F971" s="9"/>
      <c r="G971" s="9"/>
      <c r="H971" s="59"/>
      <c r="I971" s="59"/>
      <c r="J971" s="59"/>
      <c r="K971" s="59"/>
      <c r="L971" s="59"/>
      <c r="M971" s="59"/>
      <c r="N971" s="21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10"/>
      <c r="AA971" s="74"/>
      <c r="AB971" s="59"/>
      <c r="AC971" s="9"/>
    </row>
    <row r="972">
      <c r="A972" s="9"/>
      <c r="B972" s="19"/>
      <c r="C972" s="9"/>
      <c r="D972" s="9"/>
      <c r="E972" s="59"/>
      <c r="F972" s="9"/>
      <c r="G972" s="9"/>
      <c r="H972" s="59"/>
      <c r="I972" s="59"/>
      <c r="J972" s="59"/>
      <c r="K972" s="59"/>
      <c r="L972" s="59"/>
      <c r="M972" s="59"/>
      <c r="N972" s="21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10"/>
      <c r="AA972" s="74"/>
      <c r="AB972" s="59"/>
      <c r="AC972" s="9"/>
    </row>
    <row r="973">
      <c r="A973" s="9"/>
      <c r="B973" s="19"/>
      <c r="C973" s="9"/>
      <c r="D973" s="9"/>
      <c r="E973" s="59"/>
      <c r="F973" s="9"/>
      <c r="G973" s="9"/>
      <c r="H973" s="59"/>
      <c r="I973" s="59"/>
      <c r="J973" s="59"/>
      <c r="K973" s="59"/>
      <c r="L973" s="59"/>
      <c r="M973" s="59"/>
      <c r="N973" s="21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10"/>
      <c r="AA973" s="74"/>
      <c r="AB973" s="59"/>
      <c r="AC973" s="9"/>
    </row>
    <row r="974">
      <c r="A974" s="9"/>
      <c r="B974" s="19"/>
      <c r="C974" s="9"/>
      <c r="D974" s="9"/>
      <c r="E974" s="59"/>
      <c r="F974" s="9"/>
      <c r="G974" s="9"/>
      <c r="H974" s="59"/>
      <c r="I974" s="59"/>
      <c r="J974" s="59"/>
      <c r="K974" s="59"/>
      <c r="L974" s="59"/>
      <c r="M974" s="59"/>
      <c r="N974" s="21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10"/>
      <c r="AA974" s="74"/>
      <c r="AB974" s="59"/>
      <c r="AC974" s="9"/>
    </row>
    <row r="975">
      <c r="A975" s="9"/>
      <c r="B975" s="19"/>
      <c r="C975" s="9"/>
      <c r="D975" s="9"/>
      <c r="E975" s="59"/>
      <c r="F975" s="9"/>
      <c r="G975" s="9"/>
      <c r="H975" s="59"/>
      <c r="I975" s="59"/>
      <c r="J975" s="59"/>
      <c r="K975" s="59"/>
      <c r="L975" s="59"/>
      <c r="M975" s="59"/>
      <c r="N975" s="21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10"/>
      <c r="AA975" s="74"/>
      <c r="AB975" s="59"/>
      <c r="AC975" s="9"/>
    </row>
    <row r="976">
      <c r="A976" s="9"/>
      <c r="B976" s="19"/>
      <c r="C976" s="9"/>
      <c r="D976" s="9"/>
      <c r="E976" s="59"/>
      <c r="F976" s="9"/>
      <c r="G976" s="9"/>
      <c r="H976" s="59"/>
      <c r="I976" s="59"/>
      <c r="J976" s="59"/>
      <c r="K976" s="59"/>
      <c r="L976" s="59"/>
      <c r="M976" s="59"/>
      <c r="N976" s="21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10"/>
      <c r="AA976" s="74"/>
      <c r="AB976" s="59"/>
      <c r="AC976" s="9"/>
    </row>
    <row r="977">
      <c r="A977" s="9"/>
      <c r="B977" s="19"/>
      <c r="C977" s="9"/>
      <c r="D977" s="9"/>
      <c r="E977" s="59"/>
      <c r="F977" s="9"/>
      <c r="G977" s="9"/>
      <c r="H977" s="59"/>
      <c r="I977" s="59"/>
      <c r="J977" s="59"/>
      <c r="K977" s="59"/>
      <c r="L977" s="59"/>
      <c r="M977" s="59"/>
      <c r="N977" s="21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10"/>
      <c r="AA977" s="74"/>
      <c r="AB977" s="59"/>
      <c r="AC977" s="9"/>
    </row>
    <row r="978">
      <c r="A978" s="9"/>
      <c r="B978" s="19"/>
      <c r="C978" s="9"/>
      <c r="D978" s="9"/>
      <c r="E978" s="59"/>
      <c r="F978" s="9"/>
      <c r="G978" s="9"/>
      <c r="H978" s="59"/>
      <c r="I978" s="59"/>
      <c r="J978" s="59"/>
      <c r="K978" s="59"/>
      <c r="L978" s="59"/>
      <c r="M978" s="59"/>
      <c r="N978" s="21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10"/>
      <c r="AA978" s="74"/>
      <c r="AB978" s="59"/>
      <c r="AC978" s="9"/>
    </row>
    <row r="979">
      <c r="A979" s="9"/>
      <c r="B979" s="19"/>
      <c r="C979" s="9"/>
      <c r="D979" s="9"/>
      <c r="E979" s="59"/>
      <c r="F979" s="9"/>
      <c r="G979" s="9"/>
      <c r="H979" s="59"/>
      <c r="I979" s="59"/>
      <c r="J979" s="59"/>
      <c r="K979" s="59"/>
      <c r="L979" s="59"/>
      <c r="M979" s="59"/>
      <c r="N979" s="21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10"/>
      <c r="AA979" s="74"/>
      <c r="AB979" s="59"/>
      <c r="AC979" s="9"/>
    </row>
    <row r="980">
      <c r="A980" s="9"/>
      <c r="B980" s="19"/>
      <c r="C980" s="9"/>
      <c r="D980" s="9"/>
      <c r="E980" s="59"/>
      <c r="F980" s="9"/>
      <c r="G980" s="9"/>
      <c r="H980" s="59"/>
      <c r="I980" s="59"/>
      <c r="J980" s="59"/>
      <c r="K980" s="59"/>
      <c r="L980" s="59"/>
      <c r="M980" s="59"/>
      <c r="N980" s="21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10"/>
      <c r="AA980" s="74"/>
      <c r="AB980" s="59"/>
      <c r="AC980" s="9"/>
    </row>
    <row r="981">
      <c r="A981" s="9"/>
      <c r="B981" s="19"/>
      <c r="C981" s="9"/>
      <c r="D981" s="9"/>
      <c r="E981" s="59"/>
      <c r="F981" s="9"/>
      <c r="G981" s="9"/>
      <c r="H981" s="59"/>
      <c r="I981" s="59"/>
      <c r="J981" s="59"/>
      <c r="K981" s="59"/>
      <c r="L981" s="59"/>
      <c r="M981" s="59"/>
      <c r="N981" s="21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10"/>
      <c r="AA981" s="74"/>
      <c r="AB981" s="59"/>
      <c r="AC981" s="9"/>
    </row>
    <row r="982">
      <c r="A982" s="9"/>
      <c r="B982" s="19"/>
      <c r="C982" s="9"/>
      <c r="D982" s="9"/>
      <c r="E982" s="59"/>
      <c r="F982" s="9"/>
      <c r="G982" s="9"/>
      <c r="H982" s="59"/>
      <c r="I982" s="59"/>
      <c r="J982" s="59"/>
      <c r="K982" s="59"/>
      <c r="L982" s="59"/>
      <c r="M982" s="59"/>
      <c r="N982" s="21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10"/>
      <c r="AA982" s="74"/>
      <c r="AB982" s="59"/>
      <c r="AC982" s="9"/>
    </row>
    <row r="983">
      <c r="A983" s="9"/>
      <c r="B983" s="19"/>
      <c r="C983" s="9"/>
      <c r="D983" s="9"/>
      <c r="E983" s="59"/>
      <c r="F983" s="9"/>
      <c r="G983" s="9"/>
      <c r="H983" s="59"/>
      <c r="I983" s="59"/>
      <c r="J983" s="59"/>
      <c r="K983" s="59"/>
      <c r="L983" s="59"/>
      <c r="M983" s="59"/>
      <c r="N983" s="21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10"/>
      <c r="AA983" s="74"/>
      <c r="AB983" s="59"/>
      <c r="AC983" s="9"/>
    </row>
    <row r="984">
      <c r="A984" s="9"/>
      <c r="B984" s="19"/>
      <c r="C984" s="9"/>
      <c r="D984" s="9"/>
      <c r="E984" s="59"/>
      <c r="F984" s="9"/>
      <c r="G984" s="9"/>
      <c r="H984" s="59"/>
      <c r="I984" s="59"/>
      <c r="J984" s="59"/>
      <c r="K984" s="59"/>
      <c r="L984" s="59"/>
      <c r="M984" s="59"/>
      <c r="N984" s="21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10"/>
      <c r="AA984" s="74"/>
      <c r="AB984" s="59"/>
      <c r="AC984" s="9"/>
    </row>
    <row r="985">
      <c r="A985" s="9"/>
      <c r="B985" s="19"/>
      <c r="C985" s="9"/>
      <c r="D985" s="9"/>
      <c r="E985" s="59"/>
      <c r="F985" s="9"/>
      <c r="G985" s="9"/>
      <c r="H985" s="59"/>
      <c r="I985" s="59"/>
      <c r="J985" s="59"/>
      <c r="K985" s="59"/>
      <c r="L985" s="59"/>
      <c r="M985" s="59"/>
      <c r="N985" s="21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10"/>
      <c r="AA985" s="74"/>
      <c r="AB985" s="59"/>
      <c r="AC985" s="9"/>
    </row>
    <row r="986">
      <c r="A986" s="9"/>
      <c r="B986" s="19"/>
      <c r="C986" s="9"/>
      <c r="D986" s="9"/>
      <c r="E986" s="59"/>
      <c r="F986" s="9"/>
      <c r="G986" s="9"/>
      <c r="H986" s="59"/>
      <c r="I986" s="59"/>
      <c r="J986" s="59"/>
      <c r="K986" s="59"/>
      <c r="L986" s="59"/>
      <c r="M986" s="59"/>
      <c r="N986" s="21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10"/>
      <c r="AA986" s="74"/>
      <c r="AB986" s="59"/>
      <c r="AC986" s="9"/>
    </row>
    <row r="987">
      <c r="A987" s="9"/>
      <c r="B987" s="19"/>
      <c r="C987" s="9"/>
      <c r="D987" s="9"/>
      <c r="E987" s="59"/>
      <c r="F987" s="9"/>
      <c r="G987" s="9"/>
      <c r="H987" s="59"/>
      <c r="I987" s="59"/>
      <c r="J987" s="59"/>
      <c r="K987" s="59"/>
      <c r="L987" s="59"/>
      <c r="M987" s="59"/>
      <c r="N987" s="21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10"/>
      <c r="AA987" s="74"/>
      <c r="AB987" s="59"/>
      <c r="AC987" s="9"/>
    </row>
    <row r="988">
      <c r="A988" s="9"/>
      <c r="B988" s="19"/>
      <c r="C988" s="9"/>
      <c r="D988" s="9"/>
      <c r="E988" s="59"/>
      <c r="F988" s="9"/>
      <c r="G988" s="9"/>
      <c r="H988" s="59"/>
      <c r="I988" s="59"/>
      <c r="J988" s="59"/>
      <c r="K988" s="59"/>
      <c r="L988" s="59"/>
      <c r="M988" s="59"/>
      <c r="N988" s="21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10"/>
      <c r="AA988" s="74"/>
      <c r="AB988" s="59"/>
      <c r="AC988" s="9"/>
    </row>
    <row r="989">
      <c r="A989" s="9"/>
      <c r="B989" s="19"/>
      <c r="C989" s="9"/>
      <c r="D989" s="9"/>
      <c r="E989" s="59"/>
      <c r="F989" s="9"/>
      <c r="G989" s="9"/>
      <c r="H989" s="59"/>
      <c r="I989" s="59"/>
      <c r="J989" s="59"/>
      <c r="K989" s="59"/>
      <c r="L989" s="59"/>
      <c r="M989" s="59"/>
      <c r="N989" s="21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10"/>
      <c r="AA989" s="74"/>
      <c r="AB989" s="59"/>
      <c r="AC989" s="9"/>
    </row>
    <row r="990">
      <c r="A990" s="9"/>
      <c r="B990" s="19"/>
      <c r="C990" s="9"/>
      <c r="D990" s="9"/>
      <c r="E990" s="59"/>
      <c r="F990" s="9"/>
      <c r="G990" s="9"/>
      <c r="H990" s="59"/>
      <c r="I990" s="59"/>
      <c r="J990" s="59"/>
      <c r="K990" s="59"/>
      <c r="L990" s="59"/>
      <c r="M990" s="59"/>
      <c r="N990" s="21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10"/>
      <c r="AA990" s="74"/>
      <c r="AB990" s="59"/>
      <c r="AC990" s="9"/>
    </row>
    <row r="991">
      <c r="A991" s="9"/>
      <c r="B991" s="19"/>
      <c r="C991" s="9"/>
      <c r="D991" s="9"/>
      <c r="E991" s="59"/>
      <c r="F991" s="9"/>
      <c r="G991" s="9"/>
      <c r="H991" s="59"/>
      <c r="I991" s="59"/>
      <c r="J991" s="59"/>
      <c r="K991" s="59"/>
      <c r="L991" s="59"/>
      <c r="M991" s="59"/>
      <c r="N991" s="21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10"/>
      <c r="AA991" s="74"/>
      <c r="AB991" s="59"/>
      <c r="AC991" s="9"/>
    </row>
    <row r="992">
      <c r="A992" s="9"/>
      <c r="B992" s="19"/>
      <c r="C992" s="9"/>
      <c r="D992" s="9"/>
      <c r="E992" s="59"/>
      <c r="F992" s="9"/>
      <c r="G992" s="9"/>
      <c r="H992" s="59"/>
      <c r="I992" s="59"/>
      <c r="J992" s="59"/>
      <c r="K992" s="59"/>
      <c r="L992" s="59"/>
      <c r="M992" s="59"/>
      <c r="N992" s="21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10"/>
      <c r="AA992" s="74"/>
      <c r="AB992" s="59"/>
      <c r="AC992" s="9"/>
    </row>
    <row r="993">
      <c r="A993" s="9"/>
      <c r="B993" s="19"/>
      <c r="C993" s="9"/>
      <c r="D993" s="9"/>
      <c r="E993" s="59"/>
      <c r="F993" s="9"/>
      <c r="G993" s="9"/>
      <c r="H993" s="59"/>
      <c r="I993" s="59"/>
      <c r="J993" s="59"/>
      <c r="K993" s="59"/>
      <c r="L993" s="59"/>
      <c r="M993" s="59"/>
      <c r="N993" s="21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10"/>
      <c r="AA993" s="74"/>
      <c r="AB993" s="59"/>
      <c r="AC993" s="9"/>
    </row>
    <row r="994">
      <c r="A994" s="9"/>
      <c r="B994" s="19"/>
      <c r="C994" s="9"/>
      <c r="D994" s="9"/>
      <c r="E994" s="59"/>
      <c r="F994" s="9"/>
      <c r="G994" s="9"/>
      <c r="H994" s="59"/>
      <c r="I994" s="59"/>
      <c r="J994" s="59"/>
      <c r="K994" s="59"/>
      <c r="L994" s="59"/>
      <c r="M994" s="59"/>
      <c r="N994" s="21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10"/>
      <c r="AA994" s="74"/>
      <c r="AB994" s="59"/>
      <c r="AC994" s="9"/>
    </row>
    <row r="995">
      <c r="A995" s="9"/>
      <c r="B995" s="19"/>
      <c r="C995" s="9"/>
      <c r="D995" s="9"/>
      <c r="E995" s="59"/>
      <c r="F995" s="9"/>
      <c r="G995" s="9"/>
      <c r="H995" s="59"/>
      <c r="I995" s="59"/>
      <c r="J995" s="59"/>
      <c r="K995" s="59"/>
      <c r="L995" s="59"/>
      <c r="M995" s="59"/>
      <c r="N995" s="21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10"/>
      <c r="AA995" s="74"/>
      <c r="AB995" s="59"/>
      <c r="AC995" s="9"/>
    </row>
    <row r="996">
      <c r="A996" s="9"/>
      <c r="B996" s="19"/>
      <c r="C996" s="9"/>
      <c r="D996" s="9"/>
      <c r="E996" s="59"/>
      <c r="F996" s="9"/>
      <c r="G996" s="9"/>
      <c r="H996" s="59"/>
      <c r="I996" s="59"/>
      <c r="J996" s="59"/>
      <c r="K996" s="59"/>
      <c r="L996" s="59"/>
      <c r="M996" s="59"/>
      <c r="N996" s="21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10"/>
      <c r="AA996" s="74"/>
      <c r="AB996" s="59"/>
      <c r="AC996" s="9"/>
    </row>
    <row r="997">
      <c r="A997" s="9"/>
      <c r="B997" s="19"/>
      <c r="C997" s="9"/>
      <c r="D997" s="9"/>
      <c r="E997" s="59"/>
      <c r="F997" s="9"/>
      <c r="G997" s="9"/>
      <c r="H997" s="59"/>
      <c r="I997" s="59"/>
      <c r="J997" s="59"/>
      <c r="K997" s="59"/>
      <c r="L997" s="59"/>
      <c r="M997" s="59"/>
      <c r="N997" s="21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10"/>
      <c r="AA997" s="74"/>
      <c r="AB997" s="59"/>
      <c r="AC997" s="9"/>
    </row>
    <row r="998">
      <c r="A998" s="9"/>
      <c r="B998" s="19"/>
      <c r="C998" s="9"/>
      <c r="D998" s="9"/>
      <c r="E998" s="59"/>
      <c r="F998" s="9"/>
      <c r="G998" s="9"/>
      <c r="H998" s="59"/>
      <c r="I998" s="59"/>
      <c r="J998" s="59"/>
      <c r="K998" s="59"/>
      <c r="L998" s="59"/>
      <c r="M998" s="59"/>
      <c r="N998" s="21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10"/>
      <c r="AA998" s="74"/>
      <c r="AB998" s="59"/>
      <c r="AC998" s="9"/>
    </row>
    <row r="999">
      <c r="A999" s="9"/>
      <c r="B999" s="19"/>
      <c r="C999" s="9"/>
      <c r="D999" s="9"/>
      <c r="E999" s="59"/>
      <c r="F999" s="9"/>
      <c r="G999" s="9"/>
      <c r="H999" s="59"/>
      <c r="I999" s="59"/>
      <c r="J999" s="59"/>
      <c r="K999" s="59"/>
      <c r="L999" s="59"/>
      <c r="M999" s="59"/>
      <c r="N999" s="21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10"/>
      <c r="AA999" s="74"/>
      <c r="AB999" s="59"/>
      <c r="AC999" s="9"/>
    </row>
    <row r="1000">
      <c r="A1000" s="9"/>
      <c r="B1000" s="19"/>
      <c r="C1000" s="9"/>
      <c r="D1000" s="9"/>
      <c r="E1000" s="59"/>
      <c r="F1000" s="9"/>
      <c r="G1000" s="9"/>
      <c r="H1000" s="59"/>
      <c r="I1000" s="59"/>
      <c r="J1000" s="59"/>
      <c r="K1000" s="59"/>
      <c r="L1000" s="59"/>
      <c r="M1000" s="59"/>
      <c r="N1000" s="21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10"/>
      <c r="AA1000" s="74"/>
      <c r="AB1000" s="59"/>
      <c r="AC1000" s="9"/>
    </row>
    <row r="1001">
      <c r="A1001" s="9"/>
      <c r="B1001" s="19"/>
      <c r="C1001" s="9"/>
      <c r="D1001" s="9"/>
      <c r="E1001" s="59"/>
      <c r="F1001" s="9"/>
      <c r="G1001" s="9"/>
      <c r="H1001" s="59"/>
      <c r="I1001" s="59"/>
      <c r="J1001" s="59"/>
      <c r="K1001" s="59"/>
      <c r="L1001" s="59"/>
      <c r="M1001" s="59"/>
      <c r="N1001" s="21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10"/>
      <c r="AA1001" s="74"/>
      <c r="AB1001" s="59"/>
      <c r="AC1001" s="9"/>
    </row>
    <row r="1002">
      <c r="A1002" s="9"/>
      <c r="B1002" s="19"/>
      <c r="C1002" s="9"/>
      <c r="D1002" s="9"/>
      <c r="E1002" s="59"/>
      <c r="F1002" s="9"/>
      <c r="G1002" s="9"/>
      <c r="H1002" s="59"/>
      <c r="I1002" s="59"/>
      <c r="J1002" s="59"/>
      <c r="K1002" s="59"/>
      <c r="L1002" s="59"/>
      <c r="M1002" s="59"/>
      <c r="N1002" s="21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10"/>
      <c r="AA1002" s="74"/>
      <c r="AB1002" s="59"/>
      <c r="AC1002" s="9"/>
    </row>
    <row r="1003">
      <c r="A1003" s="9"/>
      <c r="B1003" s="19"/>
      <c r="C1003" s="9"/>
      <c r="D1003" s="9"/>
      <c r="E1003" s="59"/>
      <c r="F1003" s="9"/>
      <c r="G1003" s="9"/>
      <c r="H1003" s="59"/>
      <c r="I1003" s="59"/>
      <c r="J1003" s="59"/>
      <c r="K1003" s="59"/>
      <c r="L1003" s="59"/>
      <c r="M1003" s="59"/>
      <c r="N1003" s="21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10"/>
      <c r="AA1003" s="74"/>
      <c r="AB1003" s="59"/>
      <c r="AC1003" s="9"/>
    </row>
    <row r="1004">
      <c r="A1004" s="9"/>
      <c r="B1004" s="19"/>
      <c r="C1004" s="9"/>
      <c r="D1004" s="9"/>
      <c r="E1004" s="59"/>
      <c r="F1004" s="9"/>
      <c r="G1004" s="9"/>
      <c r="H1004" s="59"/>
      <c r="I1004" s="59"/>
      <c r="J1004" s="59"/>
      <c r="K1004" s="59"/>
      <c r="L1004" s="59"/>
      <c r="M1004" s="59"/>
      <c r="N1004" s="21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10"/>
      <c r="AA1004" s="74"/>
      <c r="AB1004" s="59"/>
      <c r="AC1004" s="9"/>
    </row>
    <row r="1005">
      <c r="A1005" s="9"/>
      <c r="B1005" s="19"/>
      <c r="C1005" s="9"/>
      <c r="D1005" s="9"/>
      <c r="E1005" s="59"/>
      <c r="F1005" s="9"/>
      <c r="G1005" s="9"/>
      <c r="H1005" s="59"/>
      <c r="I1005" s="59"/>
      <c r="J1005" s="59"/>
      <c r="K1005" s="59"/>
      <c r="L1005" s="59"/>
      <c r="M1005" s="59"/>
      <c r="N1005" s="21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10"/>
      <c r="AA1005" s="74"/>
      <c r="AB1005" s="59"/>
      <c r="AC1005" s="9"/>
    </row>
    <row r="1006">
      <c r="A1006" s="9"/>
      <c r="B1006" s="19"/>
      <c r="C1006" s="9"/>
      <c r="D1006" s="9"/>
      <c r="E1006" s="59"/>
      <c r="F1006" s="9"/>
      <c r="G1006" s="9"/>
      <c r="H1006" s="59"/>
      <c r="I1006" s="59"/>
      <c r="J1006" s="59"/>
      <c r="K1006" s="59"/>
      <c r="L1006" s="59"/>
      <c r="M1006" s="59"/>
      <c r="N1006" s="21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10"/>
      <c r="AA1006" s="74"/>
      <c r="AB1006" s="59"/>
      <c r="AC1006" s="9"/>
    </row>
    <row r="1007">
      <c r="A1007" s="9"/>
      <c r="B1007" s="19"/>
      <c r="C1007" s="9"/>
      <c r="D1007" s="9"/>
      <c r="E1007" s="59"/>
      <c r="F1007" s="9"/>
      <c r="G1007" s="9"/>
      <c r="H1007" s="59"/>
      <c r="I1007" s="59"/>
      <c r="J1007" s="59"/>
      <c r="K1007" s="59"/>
      <c r="L1007" s="59"/>
      <c r="M1007" s="59"/>
      <c r="N1007" s="21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10"/>
      <c r="AA1007" s="74"/>
      <c r="AB1007" s="59"/>
      <c r="AC1007" s="9"/>
    </row>
    <row r="1008">
      <c r="A1008" s="9"/>
      <c r="B1008" s="19"/>
      <c r="C1008" s="9"/>
      <c r="D1008" s="9"/>
      <c r="E1008" s="59"/>
      <c r="F1008" s="9"/>
      <c r="G1008" s="9"/>
      <c r="H1008" s="59"/>
      <c r="I1008" s="59"/>
      <c r="J1008" s="59"/>
      <c r="K1008" s="59"/>
      <c r="L1008" s="59"/>
      <c r="M1008" s="59"/>
      <c r="N1008" s="21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10"/>
      <c r="AA1008" s="74"/>
      <c r="AB1008" s="59"/>
      <c r="AC1008" s="9"/>
    </row>
    <row r="1009">
      <c r="A1009" s="9"/>
      <c r="B1009" s="19"/>
      <c r="C1009" s="9"/>
      <c r="D1009" s="9"/>
      <c r="E1009" s="59"/>
      <c r="F1009" s="9"/>
      <c r="G1009" s="9"/>
      <c r="H1009" s="59"/>
      <c r="I1009" s="59"/>
      <c r="J1009" s="59"/>
      <c r="K1009" s="59"/>
      <c r="L1009" s="59"/>
      <c r="M1009" s="59"/>
      <c r="N1009" s="21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10"/>
      <c r="AA1009" s="74"/>
      <c r="AB1009" s="59"/>
      <c r="AC1009" s="9"/>
    </row>
    <row r="1010">
      <c r="A1010" s="9"/>
      <c r="B1010" s="19"/>
      <c r="C1010" s="9"/>
      <c r="D1010" s="9"/>
      <c r="E1010" s="59"/>
      <c r="F1010" s="9"/>
      <c r="G1010" s="9"/>
      <c r="H1010" s="59"/>
      <c r="I1010" s="59"/>
      <c r="J1010" s="59"/>
      <c r="K1010" s="59"/>
      <c r="L1010" s="59"/>
      <c r="M1010" s="59"/>
      <c r="N1010" s="21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10"/>
      <c r="AA1010" s="74"/>
      <c r="AB1010" s="59"/>
      <c r="AC1010" s="9"/>
    </row>
    <row r="1011">
      <c r="A1011" s="9"/>
      <c r="B1011" s="19"/>
      <c r="C1011" s="9"/>
      <c r="D1011" s="9"/>
      <c r="E1011" s="59"/>
      <c r="F1011" s="9"/>
      <c r="G1011" s="9"/>
      <c r="H1011" s="59"/>
      <c r="I1011" s="59"/>
      <c r="J1011" s="59"/>
      <c r="K1011" s="59"/>
      <c r="L1011" s="59"/>
      <c r="M1011" s="59"/>
      <c r="N1011" s="21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10"/>
      <c r="AA1011" s="74"/>
      <c r="AB1011" s="59"/>
      <c r="AC1011" s="9"/>
    </row>
    <row r="1012">
      <c r="A1012" s="9"/>
      <c r="B1012" s="19"/>
      <c r="C1012" s="9"/>
      <c r="D1012" s="9"/>
      <c r="E1012" s="59"/>
      <c r="F1012" s="9"/>
      <c r="G1012" s="9"/>
      <c r="H1012" s="59"/>
      <c r="I1012" s="59"/>
      <c r="J1012" s="59"/>
      <c r="K1012" s="59"/>
      <c r="L1012" s="59"/>
      <c r="M1012" s="59"/>
      <c r="N1012" s="21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10"/>
      <c r="AA1012" s="74"/>
      <c r="AB1012" s="59"/>
      <c r="AC1012" s="9"/>
    </row>
    <row r="1013">
      <c r="A1013" s="9"/>
      <c r="B1013" s="19"/>
      <c r="C1013" s="9"/>
      <c r="D1013" s="9"/>
      <c r="E1013" s="59"/>
      <c r="F1013" s="9"/>
      <c r="G1013" s="9"/>
      <c r="H1013" s="59"/>
      <c r="I1013" s="59"/>
      <c r="J1013" s="59"/>
      <c r="K1013" s="59"/>
      <c r="L1013" s="59"/>
      <c r="M1013" s="59"/>
      <c r="N1013" s="21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10"/>
      <c r="AA1013" s="74"/>
      <c r="AB1013" s="59"/>
      <c r="AC1013" s="9"/>
    </row>
    <row r="1014">
      <c r="A1014" s="9"/>
      <c r="B1014" s="19"/>
      <c r="C1014" s="9"/>
      <c r="D1014" s="9"/>
      <c r="E1014" s="59"/>
      <c r="F1014" s="9"/>
      <c r="G1014" s="9"/>
      <c r="H1014" s="59"/>
      <c r="I1014" s="59"/>
      <c r="J1014" s="59"/>
      <c r="K1014" s="59"/>
      <c r="L1014" s="59"/>
      <c r="M1014" s="59"/>
      <c r="N1014" s="21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10"/>
      <c r="AA1014" s="74"/>
      <c r="AB1014" s="59"/>
      <c r="AC1014" s="9"/>
    </row>
    <row r="1015">
      <c r="A1015" s="9"/>
      <c r="B1015" s="19"/>
      <c r="C1015" s="9"/>
      <c r="D1015" s="9"/>
      <c r="E1015" s="59"/>
      <c r="F1015" s="9"/>
      <c r="G1015" s="9"/>
      <c r="H1015" s="59"/>
      <c r="I1015" s="59"/>
      <c r="J1015" s="59"/>
      <c r="K1015" s="59"/>
      <c r="L1015" s="59"/>
      <c r="M1015" s="59"/>
      <c r="N1015" s="21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59"/>
      <c r="Z1015" s="10"/>
      <c r="AA1015" s="74"/>
      <c r="AB1015" s="59"/>
      <c r="AC1015" s="9"/>
    </row>
    <row r="1016">
      <c r="A1016" s="9"/>
      <c r="B1016" s="19"/>
      <c r="C1016" s="9"/>
      <c r="D1016" s="9"/>
      <c r="E1016" s="59"/>
      <c r="F1016" s="9"/>
      <c r="G1016" s="9"/>
      <c r="H1016" s="59"/>
      <c r="I1016" s="59"/>
      <c r="J1016" s="59"/>
      <c r="K1016" s="59"/>
      <c r="L1016" s="59"/>
      <c r="M1016" s="59"/>
      <c r="N1016" s="21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59"/>
      <c r="Z1016" s="10"/>
      <c r="AA1016" s="74"/>
      <c r="AB1016" s="59"/>
      <c r="AC1016" s="9"/>
    </row>
    <row r="1017">
      <c r="A1017" s="9"/>
      <c r="B1017" s="19"/>
      <c r="C1017" s="9"/>
      <c r="D1017" s="9"/>
      <c r="E1017" s="59"/>
      <c r="F1017" s="9"/>
      <c r="G1017" s="9"/>
      <c r="H1017" s="59"/>
      <c r="I1017" s="59"/>
      <c r="J1017" s="59"/>
      <c r="K1017" s="59"/>
      <c r="L1017" s="59"/>
      <c r="M1017" s="59"/>
      <c r="N1017" s="21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59"/>
      <c r="Z1017" s="10"/>
      <c r="AA1017" s="74"/>
      <c r="AB1017" s="59"/>
      <c r="AC1017" s="9"/>
    </row>
    <row r="1018">
      <c r="A1018" s="9"/>
      <c r="B1018" s="19"/>
      <c r="C1018" s="9"/>
      <c r="D1018" s="9"/>
      <c r="E1018" s="59"/>
      <c r="F1018" s="9"/>
      <c r="G1018" s="9"/>
      <c r="H1018" s="59"/>
      <c r="I1018" s="59"/>
      <c r="J1018" s="59"/>
      <c r="K1018" s="59"/>
      <c r="L1018" s="59"/>
      <c r="M1018" s="59"/>
      <c r="N1018" s="21"/>
      <c r="O1018" s="59"/>
      <c r="P1018" s="59"/>
      <c r="Q1018" s="59"/>
      <c r="R1018" s="59"/>
      <c r="S1018" s="59"/>
      <c r="T1018" s="59"/>
      <c r="U1018" s="59"/>
      <c r="V1018" s="59"/>
      <c r="W1018" s="59"/>
      <c r="X1018" s="59"/>
      <c r="Y1018" s="59"/>
      <c r="Z1018" s="10"/>
      <c r="AA1018" s="74"/>
      <c r="AB1018" s="59"/>
      <c r="AC1018" s="9"/>
    </row>
    <row r="1019">
      <c r="A1019" s="9"/>
      <c r="B1019" s="19"/>
      <c r="C1019" s="9"/>
      <c r="D1019" s="9"/>
      <c r="E1019" s="59"/>
      <c r="F1019" s="9"/>
      <c r="G1019" s="9"/>
      <c r="H1019" s="59"/>
      <c r="I1019" s="59"/>
      <c r="J1019" s="59"/>
      <c r="K1019" s="59"/>
      <c r="L1019" s="59"/>
      <c r="M1019" s="59"/>
      <c r="N1019" s="21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59"/>
      <c r="Z1019" s="10"/>
      <c r="AA1019" s="74"/>
      <c r="AB1019" s="59"/>
      <c r="AC1019" s="9"/>
    </row>
    <row r="1020">
      <c r="A1020" s="9"/>
      <c r="B1020" s="19"/>
      <c r="C1020" s="9"/>
      <c r="D1020" s="9"/>
      <c r="E1020" s="59"/>
      <c r="F1020" s="9"/>
      <c r="G1020" s="9"/>
      <c r="H1020" s="59"/>
      <c r="I1020" s="59"/>
      <c r="J1020" s="59"/>
      <c r="K1020" s="59"/>
      <c r="L1020" s="59"/>
      <c r="M1020" s="59"/>
      <c r="N1020" s="21"/>
      <c r="O1020" s="59"/>
      <c r="P1020" s="59"/>
      <c r="Q1020" s="59"/>
      <c r="R1020" s="59"/>
      <c r="S1020" s="59"/>
      <c r="T1020" s="59"/>
      <c r="U1020" s="59"/>
      <c r="V1020" s="59"/>
      <c r="W1020" s="59"/>
      <c r="X1020" s="59"/>
      <c r="Y1020" s="59"/>
      <c r="Z1020" s="10"/>
      <c r="AA1020" s="74"/>
      <c r="AB1020" s="59"/>
      <c r="AC1020" s="9"/>
    </row>
    <row r="1021">
      <c r="A1021" s="9"/>
      <c r="B1021" s="19"/>
      <c r="C1021" s="9"/>
      <c r="D1021" s="9"/>
      <c r="E1021" s="59"/>
      <c r="F1021" s="9"/>
      <c r="G1021" s="9"/>
      <c r="H1021" s="59"/>
      <c r="I1021" s="59"/>
      <c r="J1021" s="59"/>
      <c r="K1021" s="59"/>
      <c r="L1021" s="59"/>
      <c r="M1021" s="59"/>
      <c r="N1021" s="21"/>
      <c r="O1021" s="59"/>
      <c r="P1021" s="59"/>
      <c r="Q1021" s="59"/>
      <c r="R1021" s="59"/>
      <c r="S1021" s="59"/>
      <c r="T1021" s="59"/>
      <c r="U1021" s="59"/>
      <c r="V1021" s="59"/>
      <c r="W1021" s="59"/>
      <c r="X1021" s="59"/>
      <c r="Y1021" s="59"/>
      <c r="Z1021" s="10"/>
      <c r="AA1021" s="74"/>
      <c r="AB1021" s="59"/>
      <c r="AC1021" s="9"/>
    </row>
    <row r="1022">
      <c r="A1022" s="9"/>
      <c r="B1022" s="19"/>
      <c r="C1022" s="9"/>
      <c r="D1022" s="9"/>
      <c r="E1022" s="59"/>
      <c r="F1022" s="9"/>
      <c r="G1022" s="9"/>
      <c r="H1022" s="59"/>
      <c r="I1022" s="59"/>
      <c r="J1022" s="59"/>
      <c r="K1022" s="59"/>
      <c r="L1022" s="59"/>
      <c r="M1022" s="59"/>
      <c r="N1022" s="21"/>
      <c r="O1022" s="59"/>
      <c r="P1022" s="59"/>
      <c r="Q1022" s="59"/>
      <c r="R1022" s="59"/>
      <c r="S1022" s="59"/>
      <c r="T1022" s="59"/>
      <c r="U1022" s="59"/>
      <c r="V1022" s="59"/>
      <c r="W1022" s="59"/>
      <c r="X1022" s="59"/>
      <c r="Y1022" s="59"/>
      <c r="Z1022" s="10"/>
      <c r="AA1022" s="74"/>
      <c r="AB1022" s="59"/>
      <c r="AC1022" s="9"/>
    </row>
    <row r="1023">
      <c r="A1023" s="9"/>
      <c r="B1023" s="19"/>
      <c r="C1023" s="9"/>
      <c r="D1023" s="9"/>
      <c r="E1023" s="59"/>
      <c r="F1023" s="9"/>
      <c r="G1023" s="9"/>
      <c r="H1023" s="59"/>
      <c r="I1023" s="59"/>
      <c r="J1023" s="59"/>
      <c r="K1023" s="59"/>
      <c r="L1023" s="59"/>
      <c r="M1023" s="59"/>
      <c r="N1023" s="21"/>
      <c r="O1023" s="59"/>
      <c r="P1023" s="59"/>
      <c r="Q1023" s="59"/>
      <c r="R1023" s="59"/>
      <c r="S1023" s="59"/>
      <c r="T1023" s="59"/>
      <c r="U1023" s="59"/>
      <c r="V1023" s="59"/>
      <c r="W1023" s="59"/>
      <c r="X1023" s="59"/>
      <c r="Y1023" s="59"/>
      <c r="Z1023" s="10"/>
      <c r="AA1023" s="74"/>
      <c r="AB1023" s="59"/>
      <c r="AC1023" s="9"/>
    </row>
    <row r="1024">
      <c r="A1024" s="9"/>
      <c r="B1024" s="19"/>
      <c r="C1024" s="9"/>
      <c r="D1024" s="9"/>
      <c r="E1024" s="59"/>
      <c r="F1024" s="9"/>
      <c r="G1024" s="9"/>
      <c r="H1024" s="59"/>
      <c r="I1024" s="59"/>
      <c r="J1024" s="59"/>
      <c r="K1024" s="59"/>
      <c r="L1024" s="59"/>
      <c r="M1024" s="59"/>
      <c r="N1024" s="21"/>
      <c r="O1024" s="59"/>
      <c r="P1024" s="59"/>
      <c r="Q1024" s="59"/>
      <c r="R1024" s="59"/>
      <c r="S1024" s="59"/>
      <c r="T1024" s="59"/>
      <c r="U1024" s="59"/>
      <c r="V1024" s="59"/>
      <c r="W1024" s="59"/>
      <c r="X1024" s="59"/>
      <c r="Y1024" s="59"/>
      <c r="Z1024" s="10"/>
      <c r="AA1024" s="74"/>
      <c r="AB1024" s="59"/>
      <c r="AC1024" s="9"/>
    </row>
    <row r="1025">
      <c r="A1025" s="9"/>
      <c r="B1025" s="19"/>
      <c r="C1025" s="9"/>
      <c r="D1025" s="9"/>
      <c r="E1025" s="59"/>
      <c r="F1025" s="9"/>
      <c r="G1025" s="9"/>
      <c r="H1025" s="59"/>
      <c r="I1025" s="59"/>
      <c r="J1025" s="59"/>
      <c r="K1025" s="59"/>
      <c r="L1025" s="59"/>
      <c r="M1025" s="59"/>
      <c r="N1025" s="21"/>
      <c r="O1025" s="59"/>
      <c r="P1025" s="59"/>
      <c r="Q1025" s="59"/>
      <c r="R1025" s="59"/>
      <c r="S1025" s="59"/>
      <c r="T1025" s="59"/>
      <c r="U1025" s="59"/>
      <c r="V1025" s="59"/>
      <c r="W1025" s="59"/>
      <c r="X1025" s="59"/>
      <c r="Y1025" s="59"/>
      <c r="Z1025" s="10"/>
      <c r="AA1025" s="74"/>
      <c r="AB1025" s="59"/>
      <c r="AC1025" s="9"/>
    </row>
    <row r="1026">
      <c r="A1026" s="9"/>
      <c r="B1026" s="19"/>
      <c r="C1026" s="9"/>
      <c r="D1026" s="9"/>
      <c r="E1026" s="59"/>
      <c r="F1026" s="9"/>
      <c r="G1026" s="9"/>
      <c r="H1026" s="59"/>
      <c r="I1026" s="59"/>
      <c r="J1026" s="59"/>
      <c r="K1026" s="59"/>
      <c r="L1026" s="59"/>
      <c r="M1026" s="59"/>
      <c r="N1026" s="21"/>
      <c r="O1026" s="59"/>
      <c r="P1026" s="59"/>
      <c r="Q1026" s="59"/>
      <c r="R1026" s="59"/>
      <c r="S1026" s="59"/>
      <c r="T1026" s="59"/>
      <c r="U1026" s="59"/>
      <c r="V1026" s="59"/>
      <c r="W1026" s="59"/>
      <c r="X1026" s="59"/>
      <c r="Y1026" s="59"/>
      <c r="Z1026" s="10"/>
      <c r="AA1026" s="74"/>
      <c r="AB1026" s="59"/>
      <c r="AC1026" s="9"/>
    </row>
    <row r="1027">
      <c r="A1027" s="9"/>
      <c r="B1027" s="19"/>
      <c r="C1027" s="9"/>
      <c r="D1027" s="9"/>
      <c r="E1027" s="59"/>
      <c r="F1027" s="9"/>
      <c r="G1027" s="9"/>
      <c r="H1027" s="59"/>
      <c r="I1027" s="59"/>
      <c r="J1027" s="59"/>
      <c r="K1027" s="59"/>
      <c r="L1027" s="59"/>
      <c r="M1027" s="59"/>
      <c r="N1027" s="21"/>
      <c r="O1027" s="59"/>
      <c r="P1027" s="59"/>
      <c r="Q1027" s="59"/>
      <c r="R1027" s="59"/>
      <c r="S1027" s="59"/>
      <c r="T1027" s="59"/>
      <c r="U1027" s="59"/>
      <c r="V1027" s="59"/>
      <c r="W1027" s="59"/>
      <c r="X1027" s="59"/>
      <c r="Y1027" s="59"/>
      <c r="Z1027" s="10"/>
      <c r="AA1027" s="74"/>
      <c r="AB1027" s="59"/>
      <c r="AC1027" s="9"/>
    </row>
    <row r="1028">
      <c r="A1028" s="9"/>
      <c r="B1028" s="19"/>
      <c r="C1028" s="9"/>
      <c r="D1028" s="9"/>
      <c r="E1028" s="59"/>
      <c r="F1028" s="9"/>
      <c r="G1028" s="9"/>
      <c r="H1028" s="59"/>
      <c r="I1028" s="59"/>
      <c r="J1028" s="59"/>
      <c r="K1028" s="59"/>
      <c r="L1028" s="59"/>
      <c r="M1028" s="59"/>
      <c r="N1028" s="21"/>
      <c r="O1028" s="59"/>
      <c r="P1028" s="59"/>
      <c r="Q1028" s="59"/>
      <c r="R1028" s="59"/>
      <c r="S1028" s="59"/>
      <c r="T1028" s="59"/>
      <c r="U1028" s="59"/>
      <c r="V1028" s="59"/>
      <c r="W1028" s="59"/>
      <c r="X1028" s="59"/>
      <c r="Y1028" s="59"/>
      <c r="Z1028" s="10"/>
      <c r="AA1028" s="74"/>
      <c r="AB1028" s="59"/>
      <c r="AC1028" s="9"/>
    </row>
    <row r="1029">
      <c r="A1029" s="9"/>
      <c r="B1029" s="19"/>
      <c r="C1029" s="9"/>
      <c r="D1029" s="9"/>
      <c r="E1029" s="59"/>
      <c r="F1029" s="9"/>
      <c r="G1029" s="9"/>
      <c r="H1029" s="59"/>
      <c r="I1029" s="59"/>
      <c r="J1029" s="59"/>
      <c r="K1029" s="59"/>
      <c r="L1029" s="59"/>
      <c r="M1029" s="59"/>
      <c r="N1029" s="21"/>
      <c r="O1029" s="59"/>
      <c r="P1029" s="59"/>
      <c r="Q1029" s="59"/>
      <c r="R1029" s="59"/>
      <c r="S1029" s="59"/>
      <c r="T1029" s="59"/>
      <c r="U1029" s="59"/>
      <c r="V1029" s="59"/>
      <c r="W1029" s="59"/>
      <c r="X1029" s="59"/>
      <c r="Y1029" s="59"/>
      <c r="Z1029" s="10"/>
      <c r="AA1029" s="74"/>
      <c r="AB1029" s="59"/>
      <c r="AC1029" s="9"/>
    </row>
    <row r="1030">
      <c r="A1030" s="9"/>
      <c r="B1030" s="19"/>
      <c r="C1030" s="9"/>
      <c r="D1030" s="9"/>
      <c r="E1030" s="59"/>
      <c r="F1030" s="9"/>
      <c r="G1030" s="9"/>
      <c r="H1030" s="59"/>
      <c r="I1030" s="59"/>
      <c r="J1030" s="59"/>
      <c r="K1030" s="59"/>
      <c r="L1030" s="59"/>
      <c r="M1030" s="59"/>
      <c r="N1030" s="21"/>
      <c r="O1030" s="59"/>
      <c r="P1030" s="59"/>
      <c r="Q1030" s="59"/>
      <c r="R1030" s="59"/>
      <c r="S1030" s="59"/>
      <c r="T1030" s="59"/>
      <c r="U1030" s="59"/>
      <c r="V1030" s="59"/>
      <c r="W1030" s="59"/>
      <c r="X1030" s="59"/>
      <c r="Y1030" s="59"/>
      <c r="Z1030" s="10"/>
      <c r="AA1030" s="74"/>
      <c r="AB1030" s="59"/>
      <c r="AC1030" s="9"/>
    </row>
    <row r="1031">
      <c r="A1031" s="9"/>
      <c r="B1031" s="19"/>
      <c r="C1031" s="9"/>
      <c r="D1031" s="9"/>
      <c r="E1031" s="59"/>
      <c r="F1031" s="9"/>
      <c r="G1031" s="9"/>
      <c r="H1031" s="59"/>
      <c r="I1031" s="59"/>
      <c r="J1031" s="59"/>
      <c r="K1031" s="59"/>
      <c r="L1031" s="59"/>
      <c r="M1031" s="59"/>
      <c r="N1031" s="21"/>
      <c r="O1031" s="59"/>
      <c r="P1031" s="59"/>
      <c r="Q1031" s="59"/>
      <c r="R1031" s="59"/>
      <c r="S1031" s="59"/>
      <c r="T1031" s="59"/>
      <c r="U1031" s="59"/>
      <c r="V1031" s="59"/>
      <c r="W1031" s="59"/>
      <c r="X1031" s="59"/>
      <c r="Y1031" s="59"/>
      <c r="Z1031" s="10"/>
      <c r="AA1031" s="74"/>
      <c r="AB1031" s="59"/>
      <c r="AC1031" s="9"/>
    </row>
    <row r="1032">
      <c r="A1032" s="9"/>
      <c r="B1032" s="19"/>
      <c r="C1032" s="9"/>
      <c r="D1032" s="9"/>
      <c r="E1032" s="59"/>
      <c r="F1032" s="9"/>
      <c r="G1032" s="9"/>
      <c r="H1032" s="59"/>
      <c r="I1032" s="59"/>
      <c r="J1032" s="59"/>
      <c r="K1032" s="59"/>
      <c r="L1032" s="59"/>
      <c r="M1032" s="59"/>
      <c r="N1032" s="21"/>
      <c r="O1032" s="59"/>
      <c r="P1032" s="59"/>
      <c r="Q1032" s="59"/>
      <c r="R1032" s="59"/>
      <c r="S1032" s="59"/>
      <c r="T1032" s="59"/>
      <c r="U1032" s="59"/>
      <c r="V1032" s="59"/>
      <c r="W1032" s="59"/>
      <c r="X1032" s="59"/>
      <c r="Y1032" s="59"/>
      <c r="Z1032" s="10"/>
      <c r="AA1032" s="74"/>
      <c r="AB1032" s="59"/>
      <c r="AC1032" s="9"/>
    </row>
    <row r="1033">
      <c r="A1033" s="9"/>
      <c r="B1033" s="19"/>
      <c r="C1033" s="9"/>
      <c r="D1033" s="9"/>
      <c r="E1033" s="59"/>
      <c r="F1033" s="9"/>
      <c r="G1033" s="9"/>
      <c r="H1033" s="59"/>
      <c r="I1033" s="59"/>
      <c r="J1033" s="59"/>
      <c r="K1033" s="59"/>
      <c r="L1033" s="59"/>
      <c r="M1033" s="59"/>
      <c r="N1033" s="21"/>
      <c r="O1033" s="59"/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10"/>
      <c r="AA1033" s="74"/>
      <c r="AB1033" s="59"/>
      <c r="AC1033" s="9"/>
    </row>
    <row r="1034">
      <c r="A1034" s="9"/>
      <c r="B1034" s="19"/>
      <c r="C1034" s="9"/>
      <c r="D1034" s="9"/>
      <c r="E1034" s="59"/>
      <c r="F1034" s="9"/>
      <c r="G1034" s="9"/>
      <c r="H1034" s="59"/>
      <c r="I1034" s="59"/>
      <c r="J1034" s="59"/>
      <c r="K1034" s="59"/>
      <c r="L1034" s="59"/>
      <c r="M1034" s="59"/>
      <c r="N1034" s="21"/>
      <c r="O1034" s="59"/>
      <c r="P1034" s="59"/>
      <c r="Q1034" s="59"/>
      <c r="R1034" s="59"/>
      <c r="S1034" s="59"/>
      <c r="T1034" s="59"/>
      <c r="U1034" s="59"/>
      <c r="V1034" s="59"/>
      <c r="W1034" s="59"/>
      <c r="X1034" s="59"/>
      <c r="Y1034" s="59"/>
      <c r="Z1034" s="10"/>
      <c r="AA1034" s="74"/>
      <c r="AB1034" s="59"/>
      <c r="AC1034" s="9"/>
    </row>
    <row r="1035">
      <c r="A1035" s="9"/>
      <c r="B1035" s="19"/>
      <c r="C1035" s="9"/>
      <c r="D1035" s="9"/>
      <c r="E1035" s="59"/>
      <c r="F1035" s="9"/>
      <c r="G1035" s="9"/>
      <c r="H1035" s="59"/>
      <c r="I1035" s="59"/>
      <c r="J1035" s="59"/>
      <c r="K1035" s="59"/>
      <c r="L1035" s="59"/>
      <c r="M1035" s="59"/>
      <c r="N1035" s="21"/>
      <c r="O1035" s="59"/>
      <c r="P1035" s="59"/>
      <c r="Q1035" s="59"/>
      <c r="R1035" s="59"/>
      <c r="S1035" s="59"/>
      <c r="T1035" s="59"/>
      <c r="U1035" s="59"/>
      <c r="V1035" s="59"/>
      <c r="W1035" s="59"/>
      <c r="X1035" s="59"/>
      <c r="Y1035" s="59"/>
      <c r="Z1035" s="10"/>
      <c r="AA1035" s="74"/>
      <c r="AB1035" s="59"/>
      <c r="AC1035" s="9"/>
    </row>
    <row r="1036">
      <c r="A1036" s="9"/>
      <c r="B1036" s="19"/>
      <c r="C1036" s="9"/>
      <c r="D1036" s="9"/>
      <c r="E1036" s="59"/>
      <c r="F1036" s="9"/>
      <c r="G1036" s="9"/>
      <c r="H1036" s="59"/>
      <c r="I1036" s="59"/>
      <c r="J1036" s="59"/>
      <c r="K1036" s="59"/>
      <c r="L1036" s="59"/>
      <c r="M1036" s="59"/>
      <c r="N1036" s="21"/>
      <c r="O1036" s="59"/>
      <c r="P1036" s="59"/>
      <c r="Q1036" s="59"/>
      <c r="R1036" s="59"/>
      <c r="S1036" s="59"/>
      <c r="T1036" s="59"/>
      <c r="U1036" s="59"/>
      <c r="V1036" s="59"/>
      <c r="W1036" s="59"/>
      <c r="X1036" s="59"/>
      <c r="Y1036" s="59"/>
      <c r="Z1036" s="10"/>
      <c r="AA1036" s="74"/>
      <c r="AB1036" s="59"/>
      <c r="AC1036" s="9"/>
    </row>
    <row r="1037">
      <c r="A1037" s="9"/>
      <c r="B1037" s="19"/>
      <c r="C1037" s="9"/>
      <c r="D1037" s="9"/>
      <c r="E1037" s="59"/>
      <c r="F1037" s="9"/>
      <c r="G1037" s="9"/>
      <c r="H1037" s="59"/>
      <c r="I1037" s="59"/>
      <c r="J1037" s="59"/>
      <c r="K1037" s="59"/>
      <c r="L1037" s="59"/>
      <c r="M1037" s="59"/>
      <c r="N1037" s="21"/>
      <c r="O1037" s="59"/>
      <c r="P1037" s="59"/>
      <c r="Q1037" s="59"/>
      <c r="R1037" s="59"/>
      <c r="S1037" s="59"/>
      <c r="T1037" s="59"/>
      <c r="U1037" s="59"/>
      <c r="V1037" s="59"/>
      <c r="W1037" s="59"/>
      <c r="X1037" s="59"/>
      <c r="Y1037" s="59"/>
      <c r="Z1037" s="10"/>
      <c r="AA1037" s="74"/>
      <c r="AB1037" s="59"/>
      <c r="AC1037" s="9"/>
    </row>
    <row r="1038">
      <c r="A1038" s="9"/>
      <c r="B1038" s="19"/>
      <c r="C1038" s="9"/>
      <c r="D1038" s="9"/>
      <c r="E1038" s="59"/>
      <c r="F1038" s="9"/>
      <c r="G1038" s="9"/>
      <c r="H1038" s="59"/>
      <c r="I1038" s="59"/>
      <c r="J1038" s="59"/>
      <c r="K1038" s="59"/>
      <c r="L1038" s="59"/>
      <c r="M1038" s="59"/>
      <c r="N1038" s="21"/>
      <c r="O1038" s="59"/>
      <c r="P1038" s="59"/>
      <c r="Q1038" s="59"/>
      <c r="R1038" s="59"/>
      <c r="S1038" s="59"/>
      <c r="T1038" s="59"/>
      <c r="U1038" s="59"/>
      <c r="V1038" s="59"/>
      <c r="W1038" s="59"/>
      <c r="X1038" s="59"/>
      <c r="Y1038" s="59"/>
      <c r="Z1038" s="10"/>
      <c r="AA1038" s="74"/>
      <c r="AB1038" s="59"/>
      <c r="AC1038" s="9"/>
    </row>
    <row r="1039">
      <c r="A1039" s="9"/>
      <c r="B1039" s="19"/>
      <c r="C1039" s="9"/>
      <c r="D1039" s="9"/>
      <c r="E1039" s="59"/>
      <c r="F1039" s="9"/>
      <c r="G1039" s="9"/>
      <c r="H1039" s="59"/>
      <c r="I1039" s="59"/>
      <c r="J1039" s="59"/>
      <c r="K1039" s="59"/>
      <c r="L1039" s="59"/>
      <c r="M1039" s="59"/>
      <c r="N1039" s="21"/>
      <c r="O1039" s="59"/>
      <c r="P1039" s="59"/>
      <c r="Q1039" s="59"/>
      <c r="R1039" s="59"/>
      <c r="S1039" s="59"/>
      <c r="T1039" s="59"/>
      <c r="U1039" s="59"/>
      <c r="V1039" s="59"/>
      <c r="W1039" s="59"/>
      <c r="X1039" s="59"/>
      <c r="Y1039" s="59"/>
      <c r="Z1039" s="10"/>
      <c r="AA1039" s="74"/>
      <c r="AB1039" s="59"/>
      <c r="AC1039" s="9"/>
    </row>
    <row r="1040">
      <c r="A1040" s="9"/>
      <c r="B1040" s="19"/>
      <c r="C1040" s="9"/>
      <c r="D1040" s="9"/>
      <c r="E1040" s="59"/>
      <c r="F1040" s="9"/>
      <c r="G1040" s="9"/>
      <c r="H1040" s="59"/>
      <c r="I1040" s="59"/>
      <c r="J1040" s="59"/>
      <c r="K1040" s="59"/>
      <c r="L1040" s="59"/>
      <c r="M1040" s="59"/>
      <c r="N1040" s="21"/>
      <c r="O1040" s="59"/>
      <c r="P1040" s="59"/>
      <c r="Q1040" s="59"/>
      <c r="R1040" s="59"/>
      <c r="S1040" s="59"/>
      <c r="T1040" s="59"/>
      <c r="U1040" s="59"/>
      <c r="V1040" s="59"/>
      <c r="W1040" s="59"/>
      <c r="X1040" s="59"/>
      <c r="Y1040" s="59"/>
      <c r="Z1040" s="10"/>
      <c r="AA1040" s="74"/>
      <c r="AB1040" s="59"/>
      <c r="AC1040" s="9"/>
    </row>
    <row r="1041">
      <c r="A1041" s="9"/>
      <c r="B1041" s="19"/>
      <c r="C1041" s="9"/>
      <c r="D1041" s="9"/>
      <c r="E1041" s="59"/>
      <c r="F1041" s="9"/>
      <c r="G1041" s="9"/>
      <c r="H1041" s="59"/>
      <c r="I1041" s="59"/>
      <c r="J1041" s="59"/>
      <c r="K1041" s="59"/>
      <c r="L1041" s="59"/>
      <c r="M1041" s="59"/>
      <c r="N1041" s="21"/>
      <c r="O1041" s="59"/>
      <c r="P1041" s="59"/>
      <c r="Q1041" s="59"/>
      <c r="R1041" s="59"/>
      <c r="S1041" s="59"/>
      <c r="T1041" s="59"/>
      <c r="U1041" s="59"/>
      <c r="V1041" s="59"/>
      <c r="W1041" s="59"/>
      <c r="X1041" s="59"/>
      <c r="Y1041" s="59"/>
      <c r="Z1041" s="10"/>
      <c r="AA1041" s="74"/>
      <c r="AB1041" s="59"/>
      <c r="AC1041" s="9"/>
    </row>
    <row r="1042">
      <c r="A1042" s="9"/>
      <c r="B1042" s="19"/>
      <c r="C1042" s="9"/>
      <c r="D1042" s="9"/>
      <c r="E1042" s="59"/>
      <c r="F1042" s="9"/>
      <c r="G1042" s="9"/>
      <c r="H1042" s="59"/>
      <c r="I1042" s="59"/>
      <c r="J1042" s="59"/>
      <c r="K1042" s="59"/>
      <c r="L1042" s="59"/>
      <c r="M1042" s="59"/>
      <c r="N1042" s="21"/>
      <c r="O1042" s="59"/>
      <c r="P1042" s="59"/>
      <c r="Q1042" s="59"/>
      <c r="R1042" s="59"/>
      <c r="S1042" s="59"/>
      <c r="T1042" s="59"/>
      <c r="U1042" s="59"/>
      <c r="V1042" s="59"/>
      <c r="W1042" s="59"/>
      <c r="X1042" s="59"/>
      <c r="Y1042" s="59"/>
      <c r="Z1042" s="10"/>
      <c r="AA1042" s="74"/>
      <c r="AB1042" s="59"/>
      <c r="AC1042" s="9"/>
    </row>
    <row r="1043">
      <c r="A1043" s="9"/>
      <c r="B1043" s="19"/>
      <c r="C1043" s="9"/>
      <c r="D1043" s="9"/>
      <c r="E1043" s="59"/>
      <c r="F1043" s="9"/>
      <c r="G1043" s="9"/>
      <c r="H1043" s="59"/>
      <c r="I1043" s="59"/>
      <c r="J1043" s="59"/>
      <c r="K1043" s="59"/>
      <c r="L1043" s="59"/>
      <c r="M1043" s="59"/>
      <c r="N1043" s="21"/>
      <c r="O1043" s="59"/>
      <c r="P1043" s="59"/>
      <c r="Q1043" s="59"/>
      <c r="R1043" s="59"/>
      <c r="S1043" s="59"/>
      <c r="T1043" s="59"/>
      <c r="U1043" s="59"/>
      <c r="V1043" s="59"/>
      <c r="W1043" s="59"/>
      <c r="X1043" s="59"/>
      <c r="Y1043" s="59"/>
      <c r="Z1043" s="10"/>
      <c r="AA1043" s="74"/>
      <c r="AB1043" s="59"/>
      <c r="AC1043" s="9"/>
    </row>
    <row r="1044">
      <c r="A1044" s="9"/>
      <c r="B1044" s="19"/>
      <c r="C1044" s="9"/>
      <c r="D1044" s="9"/>
      <c r="E1044" s="59"/>
      <c r="F1044" s="9"/>
      <c r="G1044" s="9"/>
      <c r="H1044" s="59"/>
      <c r="I1044" s="59"/>
      <c r="J1044" s="59"/>
      <c r="K1044" s="59"/>
      <c r="L1044" s="59"/>
      <c r="M1044" s="59"/>
      <c r="N1044" s="21"/>
      <c r="O1044" s="59"/>
      <c r="P1044" s="59"/>
      <c r="Q1044" s="59"/>
      <c r="R1044" s="59"/>
      <c r="S1044" s="59"/>
      <c r="T1044" s="59"/>
      <c r="U1044" s="59"/>
      <c r="V1044" s="59"/>
      <c r="W1044" s="59"/>
      <c r="X1044" s="59"/>
      <c r="Y1044" s="59"/>
      <c r="Z1044" s="10"/>
      <c r="AA1044" s="74"/>
      <c r="AB1044" s="59"/>
      <c r="AC1044" s="9"/>
    </row>
    <row r="1045">
      <c r="A1045" s="9"/>
      <c r="B1045" s="19"/>
      <c r="C1045" s="9"/>
      <c r="D1045" s="9"/>
      <c r="E1045" s="59"/>
      <c r="F1045" s="9"/>
      <c r="G1045" s="9"/>
      <c r="H1045" s="59"/>
      <c r="I1045" s="59"/>
      <c r="J1045" s="59"/>
      <c r="K1045" s="59"/>
      <c r="L1045" s="59"/>
      <c r="M1045" s="59"/>
      <c r="N1045" s="21"/>
      <c r="O1045" s="59"/>
      <c r="P1045" s="59"/>
      <c r="Q1045" s="59"/>
      <c r="R1045" s="59"/>
      <c r="S1045" s="59"/>
      <c r="T1045" s="59"/>
      <c r="U1045" s="59"/>
      <c r="V1045" s="59"/>
      <c r="W1045" s="59"/>
      <c r="X1045" s="59"/>
      <c r="Y1045" s="59"/>
      <c r="Z1045" s="10"/>
      <c r="AA1045" s="74"/>
      <c r="AB1045" s="59"/>
      <c r="AC1045" s="9"/>
    </row>
    <row r="1046">
      <c r="A1046" s="9"/>
      <c r="B1046" s="19"/>
      <c r="C1046" s="9"/>
      <c r="D1046" s="9"/>
      <c r="E1046" s="59"/>
      <c r="F1046" s="9"/>
      <c r="G1046" s="9"/>
      <c r="H1046" s="59"/>
      <c r="I1046" s="59"/>
      <c r="J1046" s="59"/>
      <c r="K1046" s="59"/>
      <c r="L1046" s="59"/>
      <c r="M1046" s="59"/>
      <c r="N1046" s="21"/>
      <c r="O1046" s="59"/>
      <c r="P1046" s="59"/>
      <c r="Q1046" s="59"/>
      <c r="R1046" s="59"/>
      <c r="S1046" s="59"/>
      <c r="T1046" s="59"/>
      <c r="U1046" s="59"/>
      <c r="V1046" s="59"/>
      <c r="W1046" s="59"/>
      <c r="X1046" s="59"/>
      <c r="Y1046" s="59"/>
      <c r="Z1046" s="10"/>
      <c r="AA1046" s="74"/>
      <c r="AB1046" s="59"/>
      <c r="AC1046" s="9"/>
    </row>
    <row r="1047">
      <c r="A1047" s="9"/>
      <c r="B1047" s="19"/>
      <c r="C1047" s="9"/>
      <c r="D1047" s="9"/>
      <c r="E1047" s="59"/>
      <c r="F1047" s="9"/>
      <c r="G1047" s="9"/>
      <c r="H1047" s="59"/>
      <c r="I1047" s="59"/>
      <c r="J1047" s="59"/>
      <c r="K1047" s="59"/>
      <c r="L1047" s="59"/>
      <c r="M1047" s="59"/>
      <c r="N1047" s="21"/>
      <c r="O1047" s="59"/>
      <c r="P1047" s="59"/>
      <c r="Q1047" s="59"/>
      <c r="R1047" s="59"/>
      <c r="S1047" s="59"/>
      <c r="T1047" s="59"/>
      <c r="U1047" s="59"/>
      <c r="V1047" s="59"/>
      <c r="W1047" s="59"/>
      <c r="X1047" s="59"/>
      <c r="Y1047" s="59"/>
      <c r="Z1047" s="10"/>
      <c r="AA1047" s="74"/>
      <c r="AB1047" s="59"/>
      <c r="AC1047" s="9"/>
    </row>
    <row r="1048">
      <c r="A1048" s="9"/>
      <c r="B1048" s="19"/>
      <c r="C1048" s="9"/>
      <c r="D1048" s="9"/>
      <c r="E1048" s="59"/>
      <c r="F1048" s="9"/>
      <c r="G1048" s="9"/>
      <c r="H1048" s="59"/>
      <c r="I1048" s="59"/>
      <c r="J1048" s="59"/>
      <c r="K1048" s="59"/>
      <c r="L1048" s="59"/>
      <c r="M1048" s="59"/>
      <c r="N1048" s="21"/>
      <c r="O1048" s="59"/>
      <c r="P1048" s="59"/>
      <c r="Q1048" s="59"/>
      <c r="R1048" s="59"/>
      <c r="S1048" s="59"/>
      <c r="T1048" s="59"/>
      <c r="U1048" s="59"/>
      <c r="V1048" s="59"/>
      <c r="W1048" s="59"/>
      <c r="X1048" s="59"/>
      <c r="Y1048" s="59"/>
      <c r="Z1048" s="10"/>
      <c r="AA1048" s="74"/>
      <c r="AB1048" s="59"/>
      <c r="AC1048" s="9"/>
    </row>
    <row r="1049">
      <c r="A1049" s="9"/>
      <c r="B1049" s="19"/>
      <c r="C1049" s="9"/>
      <c r="D1049" s="9"/>
      <c r="E1049" s="59"/>
      <c r="F1049" s="9"/>
      <c r="G1049" s="9"/>
      <c r="H1049" s="59"/>
      <c r="I1049" s="59"/>
      <c r="J1049" s="59"/>
      <c r="K1049" s="59"/>
      <c r="L1049" s="59"/>
      <c r="M1049" s="59"/>
      <c r="N1049" s="21"/>
      <c r="O1049" s="59"/>
      <c r="P1049" s="59"/>
      <c r="Q1049" s="59"/>
      <c r="R1049" s="59"/>
      <c r="S1049" s="59"/>
      <c r="T1049" s="59"/>
      <c r="U1049" s="59"/>
      <c r="V1049" s="59"/>
      <c r="W1049" s="59"/>
      <c r="X1049" s="59"/>
      <c r="Y1049" s="59"/>
      <c r="Z1049" s="10"/>
      <c r="AA1049" s="74"/>
      <c r="AB1049" s="59"/>
      <c r="AC1049" s="9"/>
    </row>
    <row r="1050">
      <c r="A1050" s="9"/>
      <c r="B1050" s="19"/>
      <c r="C1050" s="9"/>
      <c r="D1050" s="9"/>
      <c r="E1050" s="59"/>
      <c r="F1050" s="9"/>
      <c r="G1050" s="9"/>
      <c r="H1050" s="59"/>
      <c r="I1050" s="59"/>
      <c r="J1050" s="59"/>
      <c r="K1050" s="59"/>
      <c r="L1050" s="59"/>
      <c r="M1050" s="59"/>
      <c r="N1050" s="21"/>
      <c r="O1050" s="59"/>
      <c r="P1050" s="59"/>
      <c r="Q1050" s="59"/>
      <c r="R1050" s="59"/>
      <c r="S1050" s="59"/>
      <c r="T1050" s="59"/>
      <c r="U1050" s="59"/>
      <c r="V1050" s="59"/>
      <c r="W1050" s="59"/>
      <c r="X1050" s="59"/>
      <c r="Y1050" s="59"/>
      <c r="Z1050" s="10"/>
      <c r="AA1050" s="74"/>
      <c r="AB1050" s="59"/>
      <c r="AC1050" s="9"/>
    </row>
    <row r="1051">
      <c r="A1051" s="9"/>
      <c r="B1051" s="19"/>
      <c r="C1051" s="9"/>
      <c r="D1051" s="9"/>
      <c r="E1051" s="59"/>
      <c r="F1051" s="9"/>
      <c r="G1051" s="9"/>
      <c r="H1051" s="59"/>
      <c r="I1051" s="59"/>
      <c r="J1051" s="59"/>
      <c r="K1051" s="59"/>
      <c r="L1051" s="59"/>
      <c r="M1051" s="59"/>
      <c r="N1051" s="21"/>
      <c r="O1051" s="59"/>
      <c r="P1051" s="59"/>
      <c r="Q1051" s="59"/>
      <c r="R1051" s="59"/>
      <c r="S1051" s="59"/>
      <c r="T1051" s="59"/>
      <c r="U1051" s="59"/>
      <c r="V1051" s="59"/>
      <c r="W1051" s="59"/>
      <c r="X1051" s="59"/>
      <c r="Y1051" s="59"/>
      <c r="Z1051" s="10"/>
      <c r="AA1051" s="74"/>
      <c r="AB1051" s="59"/>
      <c r="AC1051" s="9"/>
    </row>
    <row r="1052">
      <c r="A1052" s="9"/>
      <c r="B1052" s="19"/>
      <c r="C1052" s="9"/>
      <c r="D1052" s="9"/>
      <c r="E1052" s="59"/>
      <c r="F1052" s="9"/>
      <c r="G1052" s="9"/>
      <c r="H1052" s="59"/>
      <c r="I1052" s="59"/>
      <c r="J1052" s="59"/>
      <c r="K1052" s="59"/>
      <c r="L1052" s="59"/>
      <c r="M1052" s="59"/>
      <c r="N1052" s="21"/>
      <c r="O1052" s="59"/>
      <c r="P1052" s="59"/>
      <c r="Q1052" s="59"/>
      <c r="R1052" s="59"/>
      <c r="S1052" s="59"/>
      <c r="T1052" s="59"/>
      <c r="U1052" s="59"/>
      <c r="V1052" s="59"/>
      <c r="W1052" s="59"/>
      <c r="X1052" s="59"/>
      <c r="Y1052" s="59"/>
      <c r="Z1052" s="10"/>
      <c r="AA1052" s="74"/>
      <c r="AB1052" s="59"/>
      <c r="AC1052" s="9"/>
    </row>
    <row r="1053">
      <c r="A1053" s="9"/>
      <c r="B1053" s="19"/>
      <c r="C1053" s="9"/>
      <c r="D1053" s="9"/>
      <c r="E1053" s="59"/>
      <c r="F1053" s="9"/>
      <c r="G1053" s="9"/>
      <c r="H1053" s="59"/>
      <c r="I1053" s="59"/>
      <c r="J1053" s="59"/>
      <c r="K1053" s="59"/>
      <c r="L1053" s="59"/>
      <c r="M1053" s="59"/>
      <c r="N1053" s="21"/>
      <c r="O1053" s="59"/>
      <c r="P1053" s="59"/>
      <c r="Q1053" s="59"/>
      <c r="R1053" s="59"/>
      <c r="S1053" s="59"/>
      <c r="T1053" s="59"/>
      <c r="U1053" s="59"/>
      <c r="V1053" s="59"/>
      <c r="W1053" s="59"/>
      <c r="X1053" s="59"/>
      <c r="Y1053" s="59"/>
      <c r="Z1053" s="10"/>
      <c r="AA1053" s="74"/>
      <c r="AB1053" s="59"/>
      <c r="AC1053" s="9"/>
    </row>
    <row r="1054">
      <c r="A1054" s="9"/>
      <c r="B1054" s="19"/>
      <c r="C1054" s="9"/>
      <c r="D1054" s="9"/>
      <c r="E1054" s="59"/>
      <c r="F1054" s="9"/>
      <c r="G1054" s="9"/>
      <c r="H1054" s="59"/>
      <c r="I1054" s="59"/>
      <c r="J1054" s="59"/>
      <c r="K1054" s="59"/>
      <c r="L1054" s="59"/>
      <c r="M1054" s="59"/>
      <c r="N1054" s="21"/>
      <c r="O1054" s="59"/>
      <c r="P1054" s="59"/>
      <c r="Q1054" s="59"/>
      <c r="R1054" s="59"/>
      <c r="S1054" s="59"/>
      <c r="T1054" s="59"/>
      <c r="U1054" s="59"/>
      <c r="V1054" s="59"/>
      <c r="W1054" s="59"/>
      <c r="X1054" s="59"/>
      <c r="Y1054" s="59"/>
      <c r="Z1054" s="10"/>
      <c r="AA1054" s="74"/>
      <c r="AB1054" s="59"/>
      <c r="AC1054" s="9"/>
    </row>
    <row r="1055">
      <c r="A1055" s="9"/>
      <c r="B1055" s="19"/>
      <c r="C1055" s="9"/>
      <c r="D1055" s="9"/>
      <c r="E1055" s="59"/>
      <c r="F1055" s="9"/>
      <c r="G1055" s="9"/>
      <c r="H1055" s="59"/>
      <c r="I1055" s="59"/>
      <c r="J1055" s="59"/>
      <c r="K1055" s="59"/>
      <c r="L1055" s="59"/>
      <c r="M1055" s="59"/>
      <c r="N1055" s="21"/>
      <c r="O1055" s="59"/>
      <c r="P1055" s="59"/>
      <c r="Q1055" s="59"/>
      <c r="R1055" s="59"/>
      <c r="S1055" s="59"/>
      <c r="T1055" s="59"/>
      <c r="U1055" s="59"/>
      <c r="V1055" s="59"/>
      <c r="W1055" s="59"/>
      <c r="X1055" s="59"/>
      <c r="Y1055" s="59"/>
      <c r="Z1055" s="10"/>
      <c r="AA1055" s="74"/>
      <c r="AB1055" s="59"/>
      <c r="AC1055" s="9"/>
    </row>
    <row r="1056">
      <c r="A1056" s="9"/>
      <c r="B1056" s="19"/>
      <c r="C1056" s="9"/>
      <c r="D1056" s="9"/>
      <c r="E1056" s="59"/>
      <c r="F1056" s="9"/>
      <c r="G1056" s="9"/>
      <c r="H1056" s="59"/>
      <c r="I1056" s="59"/>
      <c r="J1056" s="59"/>
      <c r="K1056" s="59"/>
      <c r="L1056" s="59"/>
      <c r="M1056" s="59"/>
      <c r="N1056" s="21"/>
      <c r="O1056" s="59"/>
      <c r="P1056" s="59"/>
      <c r="Q1056" s="59"/>
      <c r="R1056" s="59"/>
      <c r="S1056" s="59"/>
      <c r="T1056" s="59"/>
      <c r="U1056" s="59"/>
      <c r="V1056" s="59"/>
      <c r="W1056" s="59"/>
      <c r="X1056" s="59"/>
      <c r="Y1056" s="59"/>
      <c r="Z1056" s="10"/>
      <c r="AA1056" s="74"/>
      <c r="AB1056" s="59"/>
      <c r="AC1056" s="9"/>
    </row>
    <row r="1057">
      <c r="A1057" s="9"/>
      <c r="B1057" s="19"/>
      <c r="C1057" s="9"/>
      <c r="D1057" s="9"/>
      <c r="E1057" s="59"/>
      <c r="F1057" s="9"/>
      <c r="G1057" s="9"/>
      <c r="H1057" s="59"/>
      <c r="I1057" s="59"/>
      <c r="J1057" s="59"/>
      <c r="K1057" s="59"/>
      <c r="L1057" s="59"/>
      <c r="M1057" s="59"/>
      <c r="N1057" s="21"/>
      <c r="O1057" s="59"/>
      <c r="P1057" s="59"/>
      <c r="Q1057" s="59"/>
      <c r="R1057" s="59"/>
      <c r="S1057" s="59"/>
      <c r="T1057" s="59"/>
      <c r="U1057" s="59"/>
      <c r="V1057" s="59"/>
      <c r="W1057" s="59"/>
      <c r="X1057" s="59"/>
      <c r="Y1057" s="59"/>
      <c r="Z1057" s="10"/>
      <c r="AA1057" s="74"/>
      <c r="AB1057" s="59"/>
      <c r="AC1057" s="9"/>
    </row>
    <row r="1058">
      <c r="A1058" s="9"/>
      <c r="B1058" s="19"/>
      <c r="C1058" s="9"/>
      <c r="D1058" s="9"/>
      <c r="E1058" s="59"/>
      <c r="F1058" s="9"/>
      <c r="G1058" s="9"/>
      <c r="H1058" s="59"/>
      <c r="I1058" s="59"/>
      <c r="J1058" s="59"/>
      <c r="K1058" s="59"/>
      <c r="L1058" s="59"/>
      <c r="M1058" s="59"/>
      <c r="N1058" s="21"/>
      <c r="O1058" s="59"/>
      <c r="P1058" s="59"/>
      <c r="Q1058" s="59"/>
      <c r="R1058" s="59"/>
      <c r="S1058" s="59"/>
      <c r="T1058" s="59"/>
      <c r="U1058" s="59"/>
      <c r="V1058" s="59"/>
      <c r="W1058" s="59"/>
      <c r="X1058" s="59"/>
      <c r="Y1058" s="59"/>
      <c r="Z1058" s="10"/>
      <c r="AA1058" s="74"/>
      <c r="AB1058" s="59"/>
      <c r="AC1058" s="9"/>
    </row>
    <row r="1059">
      <c r="A1059" s="9"/>
      <c r="B1059" s="19"/>
      <c r="C1059" s="9"/>
      <c r="D1059" s="9"/>
      <c r="E1059" s="59"/>
      <c r="F1059" s="9"/>
      <c r="G1059" s="9"/>
      <c r="H1059" s="59"/>
      <c r="I1059" s="59"/>
      <c r="J1059" s="59"/>
      <c r="K1059" s="59"/>
      <c r="L1059" s="59"/>
      <c r="M1059" s="59"/>
      <c r="N1059" s="21"/>
      <c r="O1059" s="59"/>
      <c r="P1059" s="59"/>
      <c r="Q1059" s="59"/>
      <c r="R1059" s="59"/>
      <c r="S1059" s="59"/>
      <c r="T1059" s="59"/>
      <c r="U1059" s="59"/>
      <c r="V1059" s="59"/>
      <c r="W1059" s="59"/>
      <c r="X1059" s="59"/>
      <c r="Y1059" s="59"/>
      <c r="Z1059" s="10"/>
      <c r="AA1059" s="74"/>
      <c r="AB1059" s="59"/>
      <c r="AC1059" s="9"/>
    </row>
    <row r="1060">
      <c r="A1060" s="9"/>
      <c r="B1060" s="19"/>
      <c r="C1060" s="9"/>
      <c r="D1060" s="9"/>
      <c r="E1060" s="59"/>
      <c r="F1060" s="9"/>
      <c r="G1060" s="9"/>
      <c r="H1060" s="59"/>
      <c r="I1060" s="59"/>
      <c r="J1060" s="59"/>
      <c r="K1060" s="59"/>
      <c r="L1060" s="59"/>
      <c r="M1060" s="59"/>
      <c r="N1060" s="21"/>
      <c r="O1060" s="59"/>
      <c r="P1060" s="59"/>
      <c r="Q1060" s="59"/>
      <c r="R1060" s="59"/>
      <c r="S1060" s="59"/>
      <c r="T1060" s="59"/>
      <c r="U1060" s="59"/>
      <c r="V1060" s="59"/>
      <c r="W1060" s="59"/>
      <c r="X1060" s="59"/>
      <c r="Y1060" s="59"/>
      <c r="Z1060" s="10"/>
      <c r="AA1060" s="74"/>
      <c r="AB1060" s="59"/>
      <c r="AC1060" s="9"/>
    </row>
    <row r="1061">
      <c r="A1061" s="9"/>
      <c r="B1061" s="19"/>
      <c r="C1061" s="9"/>
      <c r="D1061" s="9"/>
      <c r="E1061" s="59"/>
      <c r="F1061" s="9"/>
      <c r="G1061" s="9"/>
      <c r="H1061" s="59"/>
      <c r="I1061" s="59"/>
      <c r="J1061" s="59"/>
      <c r="K1061" s="59"/>
      <c r="L1061" s="59"/>
      <c r="M1061" s="59"/>
      <c r="N1061" s="21"/>
      <c r="O1061" s="59"/>
      <c r="P1061" s="59"/>
      <c r="Q1061" s="59"/>
      <c r="R1061" s="59"/>
      <c r="S1061" s="59"/>
      <c r="T1061" s="59"/>
      <c r="U1061" s="59"/>
      <c r="V1061" s="59"/>
      <c r="W1061" s="59"/>
      <c r="X1061" s="59"/>
      <c r="Y1061" s="59"/>
      <c r="Z1061" s="10"/>
      <c r="AA1061" s="74"/>
      <c r="AB1061" s="59"/>
      <c r="AC1061" s="9"/>
    </row>
    <row r="1062">
      <c r="A1062" s="9"/>
      <c r="B1062" s="19"/>
      <c r="C1062" s="9"/>
      <c r="D1062" s="9"/>
      <c r="E1062" s="59"/>
      <c r="F1062" s="9"/>
      <c r="G1062" s="9"/>
      <c r="H1062" s="59"/>
      <c r="I1062" s="59"/>
      <c r="J1062" s="59"/>
      <c r="K1062" s="59"/>
      <c r="L1062" s="59"/>
      <c r="M1062" s="59"/>
      <c r="N1062" s="21"/>
      <c r="O1062" s="59"/>
      <c r="P1062" s="59"/>
      <c r="Q1062" s="59"/>
      <c r="R1062" s="59"/>
      <c r="S1062" s="59"/>
      <c r="T1062" s="59"/>
      <c r="U1062" s="59"/>
      <c r="V1062" s="59"/>
      <c r="W1062" s="59"/>
      <c r="X1062" s="59"/>
      <c r="Y1062" s="59"/>
      <c r="Z1062" s="10"/>
      <c r="AA1062" s="74"/>
      <c r="AB1062" s="59"/>
      <c r="AC1062" s="9"/>
    </row>
    <row r="1063">
      <c r="A1063" s="9"/>
      <c r="B1063" s="19"/>
      <c r="C1063" s="9"/>
      <c r="D1063" s="9"/>
      <c r="E1063" s="59"/>
      <c r="F1063" s="9"/>
      <c r="G1063" s="9"/>
      <c r="H1063" s="59"/>
      <c r="I1063" s="59"/>
      <c r="J1063" s="59"/>
      <c r="K1063" s="59"/>
      <c r="L1063" s="59"/>
      <c r="M1063" s="59"/>
      <c r="N1063" s="21"/>
      <c r="O1063" s="59"/>
      <c r="P1063" s="59"/>
      <c r="Q1063" s="59"/>
      <c r="R1063" s="59"/>
      <c r="S1063" s="59"/>
      <c r="T1063" s="59"/>
      <c r="U1063" s="59"/>
      <c r="V1063" s="59"/>
      <c r="W1063" s="59"/>
      <c r="X1063" s="59"/>
      <c r="Y1063" s="59"/>
      <c r="Z1063" s="10"/>
      <c r="AA1063" s="74"/>
      <c r="AB1063" s="59"/>
      <c r="AC1063" s="9"/>
    </row>
    <row r="1064">
      <c r="A1064" s="9"/>
      <c r="B1064" s="19"/>
      <c r="C1064" s="9"/>
      <c r="D1064" s="9"/>
      <c r="E1064" s="59"/>
      <c r="F1064" s="9"/>
      <c r="G1064" s="9"/>
      <c r="H1064" s="59"/>
      <c r="I1064" s="59"/>
      <c r="J1064" s="59"/>
      <c r="K1064" s="59"/>
      <c r="L1064" s="59"/>
      <c r="M1064" s="59"/>
      <c r="N1064" s="21"/>
      <c r="O1064" s="59"/>
      <c r="P1064" s="59"/>
      <c r="Q1064" s="59"/>
      <c r="R1064" s="59"/>
      <c r="S1064" s="59"/>
      <c r="T1064" s="59"/>
      <c r="U1064" s="59"/>
      <c r="V1064" s="59"/>
      <c r="W1064" s="59"/>
      <c r="X1064" s="59"/>
      <c r="Y1064" s="59"/>
      <c r="Z1064" s="10"/>
      <c r="AA1064" s="74"/>
      <c r="AB1064" s="59"/>
      <c r="AC1064" s="9"/>
    </row>
    <row r="1065">
      <c r="A1065" s="9"/>
      <c r="B1065" s="19"/>
      <c r="C1065" s="9"/>
      <c r="D1065" s="9"/>
      <c r="E1065" s="59"/>
      <c r="F1065" s="9"/>
      <c r="G1065" s="9"/>
      <c r="H1065" s="59"/>
      <c r="I1065" s="59"/>
      <c r="J1065" s="59"/>
      <c r="K1065" s="59"/>
      <c r="L1065" s="59"/>
      <c r="M1065" s="59"/>
      <c r="N1065" s="21"/>
      <c r="O1065" s="59"/>
      <c r="P1065" s="59"/>
      <c r="Q1065" s="59"/>
      <c r="R1065" s="59"/>
      <c r="S1065" s="59"/>
      <c r="T1065" s="59"/>
      <c r="U1065" s="59"/>
      <c r="V1065" s="59"/>
      <c r="W1065" s="59"/>
      <c r="X1065" s="59"/>
      <c r="Y1065" s="59"/>
      <c r="Z1065" s="10"/>
      <c r="AA1065" s="74"/>
      <c r="AB1065" s="59"/>
      <c r="AC1065" s="9"/>
    </row>
    <row r="1066">
      <c r="A1066" s="9"/>
      <c r="B1066" s="19"/>
      <c r="C1066" s="9"/>
      <c r="D1066" s="9"/>
      <c r="E1066" s="59"/>
      <c r="F1066" s="9"/>
      <c r="G1066" s="9"/>
      <c r="H1066" s="59"/>
      <c r="I1066" s="59"/>
      <c r="J1066" s="59"/>
      <c r="K1066" s="59"/>
      <c r="L1066" s="59"/>
      <c r="M1066" s="59"/>
      <c r="N1066" s="21"/>
      <c r="O1066" s="59"/>
      <c r="P1066" s="59"/>
      <c r="Q1066" s="59"/>
      <c r="R1066" s="59"/>
      <c r="S1066" s="59"/>
      <c r="T1066" s="59"/>
      <c r="U1066" s="59"/>
      <c r="V1066" s="59"/>
      <c r="W1066" s="59"/>
      <c r="X1066" s="59"/>
      <c r="Y1066" s="59"/>
      <c r="Z1066" s="10"/>
      <c r="AA1066" s="74"/>
      <c r="AB1066" s="59"/>
      <c r="AC1066" s="9"/>
    </row>
    <row r="1067">
      <c r="A1067" s="9"/>
      <c r="B1067" s="19"/>
      <c r="C1067" s="9"/>
      <c r="D1067" s="9"/>
      <c r="E1067" s="59"/>
      <c r="F1067" s="9"/>
      <c r="G1067" s="9"/>
      <c r="H1067" s="59"/>
      <c r="I1067" s="59"/>
      <c r="J1067" s="59"/>
      <c r="K1067" s="59"/>
      <c r="L1067" s="59"/>
      <c r="M1067" s="59"/>
      <c r="N1067" s="21"/>
      <c r="O1067" s="59"/>
      <c r="P1067" s="59"/>
      <c r="Q1067" s="59"/>
      <c r="R1067" s="59"/>
      <c r="S1067" s="59"/>
      <c r="T1067" s="59"/>
      <c r="U1067" s="59"/>
      <c r="V1067" s="59"/>
      <c r="W1067" s="59"/>
      <c r="X1067" s="59"/>
      <c r="Y1067" s="59"/>
      <c r="Z1067" s="10"/>
      <c r="AA1067" s="74"/>
      <c r="AB1067" s="59"/>
      <c r="AC1067" s="9"/>
    </row>
    <row r="1068">
      <c r="A1068" s="9"/>
      <c r="B1068" s="19"/>
      <c r="C1068" s="9"/>
      <c r="D1068" s="9"/>
      <c r="E1068" s="59"/>
      <c r="F1068" s="9"/>
      <c r="G1068" s="9"/>
      <c r="H1068" s="59"/>
      <c r="I1068" s="59"/>
      <c r="J1068" s="59"/>
      <c r="K1068" s="59"/>
      <c r="L1068" s="59"/>
      <c r="M1068" s="59"/>
      <c r="N1068" s="21"/>
      <c r="O1068" s="59"/>
      <c r="P1068" s="59"/>
      <c r="Q1068" s="59"/>
      <c r="R1068" s="59"/>
      <c r="S1068" s="59"/>
      <c r="T1068" s="59"/>
      <c r="U1068" s="59"/>
      <c r="V1068" s="59"/>
      <c r="W1068" s="59"/>
      <c r="X1068" s="59"/>
      <c r="Y1068" s="59"/>
      <c r="Z1068" s="10"/>
      <c r="AA1068" s="74"/>
      <c r="AB1068" s="59"/>
      <c r="AC1068" s="9"/>
    </row>
    <row r="1069">
      <c r="A1069" s="9"/>
      <c r="B1069" s="19"/>
      <c r="C1069" s="9"/>
      <c r="D1069" s="9"/>
      <c r="E1069" s="59"/>
      <c r="F1069" s="9"/>
      <c r="G1069" s="9"/>
      <c r="H1069" s="59"/>
      <c r="I1069" s="59"/>
      <c r="J1069" s="59"/>
      <c r="K1069" s="59"/>
      <c r="L1069" s="59"/>
      <c r="M1069" s="59"/>
      <c r="N1069" s="21"/>
      <c r="O1069" s="59"/>
      <c r="P1069" s="59"/>
      <c r="Q1069" s="59"/>
      <c r="R1069" s="59"/>
      <c r="S1069" s="59"/>
      <c r="T1069" s="59"/>
      <c r="U1069" s="59"/>
      <c r="V1069" s="59"/>
      <c r="W1069" s="59"/>
      <c r="X1069" s="59"/>
      <c r="Y1069" s="59"/>
      <c r="Z1069" s="10"/>
      <c r="AA1069" s="74"/>
      <c r="AB1069" s="59"/>
      <c r="AC1069" s="9"/>
    </row>
    <row r="1070">
      <c r="A1070" s="9"/>
      <c r="B1070" s="19"/>
      <c r="C1070" s="9"/>
      <c r="D1070" s="9"/>
      <c r="E1070" s="59"/>
      <c r="F1070" s="9"/>
      <c r="G1070" s="9"/>
      <c r="H1070" s="59"/>
      <c r="I1070" s="59"/>
      <c r="J1070" s="59"/>
      <c r="K1070" s="59"/>
      <c r="L1070" s="59"/>
      <c r="M1070" s="59"/>
      <c r="N1070" s="21"/>
      <c r="O1070" s="59"/>
      <c r="P1070" s="59"/>
      <c r="Q1070" s="59"/>
      <c r="R1070" s="59"/>
      <c r="S1070" s="59"/>
      <c r="T1070" s="59"/>
      <c r="U1070" s="59"/>
      <c r="V1070" s="59"/>
      <c r="W1070" s="59"/>
      <c r="X1070" s="59"/>
      <c r="Y1070" s="59"/>
      <c r="Z1070" s="10"/>
      <c r="AA1070" s="74"/>
      <c r="AB1070" s="59"/>
      <c r="AC1070" s="9"/>
    </row>
    <row r="1071">
      <c r="A1071" s="9"/>
      <c r="B1071" s="19"/>
      <c r="C1071" s="9"/>
      <c r="D1071" s="9"/>
      <c r="E1071" s="59"/>
      <c r="F1071" s="9"/>
      <c r="G1071" s="9"/>
      <c r="H1071" s="59"/>
      <c r="I1071" s="59"/>
      <c r="J1071" s="59"/>
      <c r="K1071" s="59"/>
      <c r="L1071" s="59"/>
      <c r="M1071" s="59"/>
      <c r="N1071" s="21"/>
      <c r="O1071" s="59"/>
      <c r="P1071" s="59"/>
      <c r="Q1071" s="59"/>
      <c r="R1071" s="59"/>
      <c r="S1071" s="59"/>
      <c r="T1071" s="59"/>
      <c r="U1071" s="59"/>
      <c r="V1071" s="59"/>
      <c r="W1071" s="59"/>
      <c r="X1071" s="59"/>
      <c r="Y1071" s="59"/>
      <c r="Z1071" s="10"/>
      <c r="AA1071" s="74"/>
      <c r="AB1071" s="59"/>
      <c r="AC1071" s="9"/>
    </row>
    <row r="1072">
      <c r="A1072" s="9"/>
      <c r="B1072" s="19"/>
      <c r="C1072" s="9"/>
      <c r="D1072" s="9"/>
      <c r="E1072" s="59"/>
      <c r="F1072" s="9"/>
      <c r="G1072" s="9"/>
      <c r="H1072" s="59"/>
      <c r="I1072" s="59"/>
      <c r="J1072" s="59"/>
      <c r="K1072" s="59"/>
      <c r="L1072" s="59"/>
      <c r="M1072" s="59"/>
      <c r="N1072" s="21"/>
      <c r="O1072" s="59"/>
      <c r="P1072" s="59"/>
      <c r="Q1072" s="59"/>
      <c r="R1072" s="59"/>
      <c r="S1072" s="59"/>
      <c r="T1072" s="59"/>
      <c r="U1072" s="59"/>
      <c r="V1072" s="59"/>
      <c r="W1072" s="59"/>
      <c r="X1072" s="59"/>
      <c r="Y1072" s="59"/>
      <c r="Z1072" s="10"/>
      <c r="AA1072" s="74"/>
      <c r="AB1072" s="59"/>
      <c r="AC1072" s="9"/>
    </row>
    <row r="1073">
      <c r="A1073" s="9"/>
      <c r="B1073" s="19"/>
      <c r="C1073" s="9"/>
      <c r="D1073" s="9"/>
      <c r="E1073" s="59"/>
      <c r="F1073" s="9"/>
      <c r="G1073" s="9"/>
      <c r="H1073" s="59"/>
      <c r="I1073" s="59"/>
      <c r="J1073" s="59"/>
      <c r="K1073" s="59"/>
      <c r="L1073" s="59"/>
      <c r="M1073" s="59"/>
      <c r="N1073" s="21"/>
      <c r="O1073" s="59"/>
      <c r="P1073" s="59"/>
      <c r="Q1073" s="59"/>
      <c r="R1073" s="59"/>
      <c r="S1073" s="59"/>
      <c r="T1073" s="59"/>
      <c r="U1073" s="59"/>
      <c r="V1073" s="59"/>
      <c r="W1073" s="59"/>
      <c r="X1073" s="59"/>
      <c r="Y1073" s="59"/>
      <c r="Z1073" s="10"/>
      <c r="AA1073" s="74"/>
      <c r="AB1073" s="59"/>
      <c r="AC1073" s="9"/>
    </row>
    <row r="1074">
      <c r="A1074" s="9"/>
      <c r="B1074" s="19"/>
      <c r="C1074" s="9"/>
      <c r="D1074" s="9"/>
      <c r="E1074" s="59"/>
      <c r="F1074" s="9"/>
      <c r="G1074" s="9"/>
      <c r="H1074" s="59"/>
      <c r="I1074" s="59"/>
      <c r="J1074" s="59"/>
      <c r="K1074" s="59"/>
      <c r="L1074" s="59"/>
      <c r="M1074" s="59"/>
      <c r="N1074" s="21"/>
      <c r="O1074" s="59"/>
      <c r="P1074" s="59"/>
      <c r="Q1074" s="59"/>
      <c r="R1074" s="59"/>
      <c r="S1074" s="59"/>
      <c r="T1074" s="59"/>
      <c r="U1074" s="59"/>
      <c r="V1074" s="59"/>
      <c r="W1074" s="59"/>
      <c r="X1074" s="59"/>
      <c r="Y1074" s="59"/>
      <c r="Z1074" s="10"/>
      <c r="AA1074" s="74"/>
      <c r="AB1074" s="59"/>
      <c r="AC1074" s="9"/>
    </row>
    <row r="1075">
      <c r="A1075" s="9"/>
      <c r="B1075" s="19"/>
      <c r="C1075" s="9"/>
      <c r="D1075" s="9"/>
      <c r="E1075" s="59"/>
      <c r="F1075" s="9"/>
      <c r="G1075" s="9"/>
      <c r="H1075" s="59"/>
      <c r="I1075" s="59"/>
      <c r="J1075" s="59"/>
      <c r="K1075" s="59"/>
      <c r="L1075" s="59"/>
      <c r="M1075" s="59"/>
      <c r="N1075" s="21"/>
      <c r="O1075" s="59"/>
      <c r="P1075" s="59"/>
      <c r="Q1075" s="59"/>
      <c r="R1075" s="59"/>
      <c r="S1075" s="59"/>
      <c r="T1075" s="59"/>
      <c r="U1075" s="59"/>
      <c r="V1075" s="59"/>
      <c r="W1075" s="59"/>
      <c r="X1075" s="59"/>
      <c r="Y1075" s="59"/>
      <c r="Z1075" s="10"/>
      <c r="AA1075" s="74"/>
      <c r="AB1075" s="59"/>
      <c r="AC1075" s="9"/>
    </row>
    <row r="1076">
      <c r="A1076" s="9"/>
      <c r="B1076" s="19"/>
      <c r="C1076" s="9"/>
      <c r="D1076" s="9"/>
      <c r="E1076" s="59"/>
      <c r="F1076" s="9"/>
      <c r="G1076" s="9"/>
      <c r="H1076" s="59"/>
      <c r="I1076" s="59"/>
      <c r="J1076" s="59"/>
      <c r="K1076" s="59"/>
      <c r="L1076" s="59"/>
      <c r="M1076" s="59"/>
      <c r="N1076" s="21"/>
      <c r="O1076" s="59"/>
      <c r="P1076" s="59"/>
      <c r="Q1076" s="59"/>
      <c r="R1076" s="59"/>
      <c r="S1076" s="59"/>
      <c r="T1076" s="59"/>
      <c r="U1076" s="59"/>
      <c r="V1076" s="59"/>
      <c r="W1076" s="59"/>
      <c r="X1076" s="59"/>
      <c r="Y1076" s="59"/>
      <c r="Z1076" s="10"/>
      <c r="AA1076" s="74"/>
      <c r="AB1076" s="59"/>
      <c r="AC1076" s="9"/>
    </row>
    <row r="1077">
      <c r="A1077" s="9"/>
      <c r="B1077" s="19"/>
      <c r="C1077" s="9"/>
      <c r="D1077" s="9"/>
      <c r="E1077" s="59"/>
      <c r="F1077" s="9"/>
      <c r="G1077" s="9"/>
      <c r="H1077" s="59"/>
      <c r="I1077" s="59"/>
      <c r="J1077" s="59"/>
      <c r="K1077" s="59"/>
      <c r="L1077" s="59"/>
      <c r="M1077" s="59"/>
      <c r="N1077" s="21"/>
      <c r="O1077" s="59"/>
      <c r="P1077" s="59"/>
      <c r="Q1077" s="59"/>
      <c r="R1077" s="59"/>
      <c r="S1077" s="59"/>
      <c r="T1077" s="59"/>
      <c r="U1077" s="59"/>
      <c r="V1077" s="59"/>
      <c r="W1077" s="59"/>
      <c r="X1077" s="59"/>
      <c r="Y1077" s="59"/>
      <c r="Z1077" s="10"/>
      <c r="AA1077" s="74"/>
      <c r="AB1077" s="59"/>
      <c r="AC1077" s="9"/>
    </row>
    <row r="1078">
      <c r="A1078" s="9"/>
      <c r="B1078" s="19"/>
      <c r="C1078" s="9"/>
      <c r="D1078" s="9"/>
      <c r="E1078" s="59"/>
      <c r="F1078" s="9"/>
      <c r="G1078" s="9"/>
      <c r="H1078" s="59"/>
      <c r="I1078" s="59"/>
      <c r="J1078" s="59"/>
      <c r="K1078" s="59"/>
      <c r="L1078" s="59"/>
      <c r="M1078" s="59"/>
      <c r="N1078" s="21"/>
      <c r="O1078" s="59"/>
      <c r="P1078" s="59"/>
      <c r="Q1078" s="59"/>
      <c r="R1078" s="59"/>
      <c r="S1078" s="59"/>
      <c r="T1078" s="59"/>
      <c r="U1078" s="59"/>
      <c r="V1078" s="59"/>
      <c r="W1078" s="59"/>
      <c r="X1078" s="59"/>
      <c r="Y1078" s="59"/>
      <c r="Z1078" s="10"/>
      <c r="AA1078" s="74"/>
      <c r="AB1078" s="59"/>
      <c r="AC1078" s="9"/>
    </row>
    <row r="1079">
      <c r="A1079" s="9"/>
      <c r="B1079" s="19"/>
      <c r="C1079" s="9"/>
      <c r="D1079" s="9"/>
      <c r="E1079" s="59"/>
      <c r="F1079" s="9"/>
      <c r="G1079" s="9"/>
      <c r="H1079" s="59"/>
      <c r="I1079" s="59"/>
      <c r="J1079" s="59"/>
      <c r="K1079" s="59"/>
      <c r="L1079" s="59"/>
      <c r="M1079" s="59"/>
      <c r="N1079" s="21"/>
      <c r="O1079" s="59"/>
      <c r="P1079" s="59"/>
      <c r="Q1079" s="59"/>
      <c r="R1079" s="59"/>
      <c r="S1079" s="59"/>
      <c r="T1079" s="59"/>
      <c r="U1079" s="59"/>
      <c r="V1079" s="59"/>
      <c r="W1079" s="59"/>
      <c r="X1079" s="59"/>
      <c r="Y1079" s="59"/>
      <c r="Z1079" s="10"/>
      <c r="AA1079" s="74"/>
      <c r="AB1079" s="59"/>
      <c r="AC1079" s="9"/>
    </row>
    <row r="1080">
      <c r="A1080" s="9"/>
      <c r="B1080" s="19"/>
      <c r="C1080" s="9"/>
      <c r="D1080" s="9"/>
      <c r="E1080" s="59"/>
      <c r="F1080" s="9"/>
      <c r="G1080" s="9"/>
      <c r="H1080" s="59"/>
      <c r="I1080" s="59"/>
      <c r="J1080" s="59"/>
      <c r="K1080" s="59"/>
      <c r="L1080" s="59"/>
      <c r="M1080" s="59"/>
      <c r="N1080" s="21"/>
      <c r="O1080" s="59"/>
      <c r="P1080" s="59"/>
      <c r="Q1080" s="59"/>
      <c r="R1080" s="59"/>
      <c r="S1080" s="59"/>
      <c r="T1080" s="59"/>
      <c r="U1080" s="59"/>
      <c r="V1080" s="59"/>
      <c r="W1080" s="59"/>
      <c r="X1080" s="59"/>
      <c r="Y1080" s="59"/>
      <c r="Z1080" s="10"/>
      <c r="AA1080" s="74"/>
      <c r="AB1080" s="59"/>
      <c r="AC1080" s="9"/>
    </row>
    <row r="1081">
      <c r="A1081" s="9"/>
      <c r="B1081" s="19"/>
      <c r="C1081" s="9"/>
      <c r="D1081" s="9"/>
      <c r="E1081" s="59"/>
      <c r="F1081" s="9"/>
      <c r="G1081" s="9"/>
      <c r="H1081" s="59"/>
      <c r="I1081" s="59"/>
      <c r="J1081" s="59"/>
      <c r="K1081" s="59"/>
      <c r="L1081" s="59"/>
      <c r="M1081" s="59"/>
      <c r="N1081" s="21"/>
      <c r="O1081" s="59"/>
      <c r="P1081" s="59"/>
      <c r="Q1081" s="59"/>
      <c r="R1081" s="59"/>
      <c r="S1081" s="59"/>
      <c r="T1081" s="59"/>
      <c r="U1081" s="59"/>
      <c r="V1081" s="59"/>
      <c r="W1081" s="59"/>
      <c r="X1081" s="59"/>
      <c r="Y1081" s="59"/>
      <c r="Z1081" s="10"/>
      <c r="AA1081" s="74"/>
      <c r="AB1081" s="59"/>
      <c r="AC1081" s="9"/>
    </row>
    <row r="1082">
      <c r="A1082" s="9"/>
      <c r="B1082" s="19"/>
      <c r="C1082" s="9"/>
      <c r="D1082" s="9"/>
      <c r="E1082" s="59"/>
      <c r="F1082" s="9"/>
      <c r="G1082" s="9"/>
      <c r="H1082" s="59"/>
      <c r="I1082" s="59"/>
      <c r="J1082" s="59"/>
      <c r="K1082" s="59"/>
      <c r="L1082" s="59"/>
      <c r="M1082" s="59"/>
      <c r="N1082" s="21"/>
      <c r="O1082" s="59"/>
      <c r="P1082" s="59"/>
      <c r="Q1082" s="59"/>
      <c r="R1082" s="59"/>
      <c r="S1082" s="59"/>
      <c r="T1082" s="59"/>
      <c r="U1082" s="59"/>
      <c r="V1082" s="59"/>
      <c r="W1082" s="59"/>
      <c r="X1082" s="59"/>
      <c r="Y1082" s="59"/>
      <c r="Z1082" s="10"/>
      <c r="AA1082" s="74"/>
      <c r="AB1082" s="59"/>
      <c r="AC1082" s="9"/>
    </row>
    <row r="1083">
      <c r="A1083" s="9"/>
      <c r="B1083" s="19"/>
      <c r="C1083" s="9"/>
      <c r="D1083" s="9"/>
      <c r="E1083" s="59"/>
      <c r="F1083" s="9"/>
      <c r="G1083" s="9"/>
      <c r="H1083" s="59"/>
      <c r="I1083" s="59"/>
      <c r="J1083" s="59"/>
      <c r="K1083" s="59"/>
      <c r="L1083" s="59"/>
      <c r="M1083" s="59"/>
      <c r="N1083" s="21"/>
      <c r="O1083" s="59"/>
      <c r="P1083" s="59"/>
      <c r="Q1083" s="59"/>
      <c r="R1083" s="59"/>
      <c r="S1083" s="59"/>
      <c r="T1083" s="59"/>
      <c r="U1083" s="59"/>
      <c r="V1083" s="59"/>
      <c r="W1083" s="59"/>
      <c r="X1083" s="59"/>
      <c r="Y1083" s="59"/>
      <c r="Z1083" s="10"/>
      <c r="AA1083" s="74"/>
      <c r="AB1083" s="59"/>
      <c r="AC1083" s="9"/>
    </row>
    <row r="1084">
      <c r="A1084" s="9"/>
      <c r="B1084" s="19"/>
      <c r="C1084" s="9"/>
      <c r="D1084" s="9"/>
      <c r="E1084" s="59"/>
      <c r="F1084" s="9"/>
      <c r="G1084" s="9"/>
      <c r="H1084" s="59"/>
      <c r="I1084" s="59"/>
      <c r="J1084" s="59"/>
      <c r="K1084" s="59"/>
      <c r="L1084" s="59"/>
      <c r="M1084" s="59"/>
      <c r="N1084" s="21"/>
      <c r="O1084" s="59"/>
      <c r="P1084" s="59"/>
      <c r="Q1084" s="59"/>
      <c r="R1084" s="59"/>
      <c r="S1084" s="59"/>
      <c r="T1084" s="59"/>
      <c r="U1084" s="59"/>
      <c r="V1084" s="59"/>
      <c r="W1084" s="59"/>
      <c r="X1084" s="59"/>
      <c r="Y1084" s="59"/>
      <c r="Z1084" s="10"/>
      <c r="AA1084" s="74"/>
      <c r="AB1084" s="59"/>
      <c r="AC1084" s="9"/>
    </row>
    <row r="1085">
      <c r="A1085" s="9"/>
      <c r="B1085" s="19"/>
      <c r="C1085" s="9"/>
      <c r="D1085" s="9"/>
      <c r="E1085" s="59"/>
      <c r="F1085" s="9"/>
      <c r="G1085" s="9"/>
      <c r="H1085" s="59"/>
      <c r="I1085" s="59"/>
      <c r="J1085" s="59"/>
      <c r="K1085" s="59"/>
      <c r="L1085" s="59"/>
      <c r="M1085" s="59"/>
      <c r="N1085" s="21"/>
      <c r="O1085" s="59"/>
      <c r="P1085" s="59"/>
      <c r="Q1085" s="59"/>
      <c r="R1085" s="59"/>
      <c r="S1085" s="59"/>
      <c r="T1085" s="59"/>
      <c r="U1085" s="59"/>
      <c r="V1085" s="59"/>
      <c r="W1085" s="59"/>
      <c r="X1085" s="59"/>
      <c r="Y1085" s="59"/>
      <c r="Z1085" s="10"/>
      <c r="AA1085" s="74"/>
      <c r="AB1085" s="59"/>
      <c r="AC1085" s="9"/>
    </row>
    <row r="1086">
      <c r="A1086" s="9"/>
      <c r="B1086" s="19"/>
      <c r="C1086" s="9"/>
      <c r="D1086" s="9"/>
      <c r="E1086" s="59"/>
      <c r="F1086" s="9"/>
      <c r="G1086" s="9"/>
      <c r="H1086" s="59"/>
      <c r="I1086" s="59"/>
      <c r="J1086" s="59"/>
      <c r="K1086" s="59"/>
      <c r="L1086" s="59"/>
      <c r="M1086" s="59"/>
      <c r="N1086" s="21"/>
      <c r="O1086" s="59"/>
      <c r="P1086" s="59"/>
      <c r="Q1086" s="59"/>
      <c r="R1086" s="59"/>
      <c r="S1086" s="59"/>
      <c r="T1086" s="59"/>
      <c r="U1086" s="59"/>
      <c r="V1086" s="59"/>
      <c r="W1086" s="59"/>
      <c r="X1086" s="59"/>
      <c r="Y1086" s="59"/>
      <c r="Z1086" s="10"/>
      <c r="AA1086" s="74"/>
      <c r="AB1086" s="59"/>
      <c r="AC1086" s="9"/>
    </row>
    <row r="1087">
      <c r="A1087" s="9"/>
      <c r="B1087" s="19"/>
      <c r="C1087" s="9"/>
      <c r="D1087" s="9"/>
      <c r="E1087" s="59"/>
      <c r="F1087" s="9"/>
      <c r="G1087" s="9"/>
      <c r="H1087" s="59"/>
      <c r="I1087" s="59"/>
      <c r="J1087" s="59"/>
      <c r="K1087" s="59"/>
      <c r="L1087" s="59"/>
      <c r="M1087" s="59"/>
      <c r="N1087" s="21"/>
      <c r="O1087" s="59"/>
      <c r="P1087" s="59"/>
      <c r="Q1087" s="59"/>
      <c r="R1087" s="59"/>
      <c r="S1087" s="59"/>
      <c r="T1087" s="59"/>
      <c r="U1087" s="59"/>
      <c r="V1087" s="59"/>
      <c r="W1087" s="59"/>
      <c r="X1087" s="59"/>
      <c r="Y1087" s="59"/>
      <c r="Z1087" s="10"/>
      <c r="AA1087" s="74"/>
      <c r="AB1087" s="59"/>
      <c r="AC1087" s="9"/>
    </row>
    <row r="1088">
      <c r="A1088" s="9"/>
      <c r="B1088" s="19"/>
      <c r="C1088" s="9"/>
      <c r="D1088" s="9"/>
      <c r="E1088" s="59"/>
      <c r="F1088" s="9"/>
      <c r="G1088" s="9"/>
      <c r="H1088" s="59"/>
      <c r="I1088" s="59"/>
      <c r="J1088" s="59"/>
      <c r="K1088" s="59"/>
      <c r="L1088" s="59"/>
      <c r="M1088" s="59"/>
      <c r="N1088" s="21"/>
      <c r="O1088" s="59"/>
      <c r="P1088" s="59"/>
      <c r="Q1088" s="59"/>
      <c r="R1088" s="59"/>
      <c r="S1088" s="59"/>
      <c r="T1088" s="59"/>
      <c r="U1088" s="59"/>
      <c r="V1088" s="59"/>
      <c r="W1088" s="59"/>
      <c r="X1088" s="59"/>
      <c r="Y1088" s="59"/>
      <c r="Z1088" s="10"/>
      <c r="AA1088" s="74"/>
      <c r="AB1088" s="59"/>
      <c r="AC1088" s="9"/>
    </row>
    <row r="1089">
      <c r="A1089" s="9"/>
      <c r="B1089" s="19"/>
      <c r="C1089" s="9"/>
      <c r="D1089" s="9"/>
      <c r="E1089" s="59"/>
      <c r="F1089" s="9"/>
      <c r="G1089" s="9"/>
      <c r="H1089" s="59"/>
      <c r="I1089" s="59"/>
      <c r="J1089" s="59"/>
      <c r="K1089" s="59"/>
      <c r="L1089" s="59"/>
      <c r="M1089" s="59"/>
      <c r="N1089" s="21"/>
      <c r="O1089" s="59"/>
      <c r="P1089" s="59"/>
      <c r="Q1089" s="59"/>
      <c r="R1089" s="59"/>
      <c r="S1089" s="59"/>
      <c r="T1089" s="59"/>
      <c r="U1089" s="59"/>
      <c r="V1089" s="59"/>
      <c r="W1089" s="59"/>
      <c r="X1089" s="59"/>
      <c r="Y1089" s="59"/>
      <c r="Z1089" s="10"/>
      <c r="AA1089" s="74"/>
      <c r="AB1089" s="59"/>
      <c r="AC1089" s="9"/>
    </row>
    <row r="1090">
      <c r="A1090" s="9"/>
      <c r="B1090" s="19"/>
      <c r="C1090" s="9"/>
      <c r="D1090" s="9"/>
      <c r="E1090" s="59"/>
      <c r="F1090" s="9"/>
      <c r="G1090" s="9"/>
      <c r="H1090" s="59"/>
      <c r="I1090" s="59"/>
      <c r="J1090" s="59"/>
      <c r="K1090" s="59"/>
      <c r="L1090" s="59"/>
      <c r="M1090" s="59"/>
      <c r="N1090" s="21"/>
      <c r="O1090" s="59"/>
      <c r="P1090" s="59"/>
      <c r="Q1090" s="59"/>
      <c r="R1090" s="59"/>
      <c r="S1090" s="59"/>
      <c r="T1090" s="59"/>
      <c r="U1090" s="59"/>
      <c r="V1090" s="59"/>
      <c r="W1090" s="59"/>
      <c r="X1090" s="59"/>
      <c r="Y1090" s="59"/>
      <c r="Z1090" s="10"/>
      <c r="AA1090" s="74"/>
      <c r="AB1090" s="59"/>
      <c r="AC1090" s="9"/>
    </row>
    <row r="1091">
      <c r="A1091" s="9"/>
      <c r="B1091" s="19"/>
      <c r="C1091" s="9"/>
      <c r="D1091" s="9"/>
      <c r="E1091" s="59"/>
      <c r="F1091" s="9"/>
      <c r="G1091" s="9"/>
      <c r="H1091" s="59"/>
      <c r="I1091" s="59"/>
      <c r="J1091" s="59"/>
      <c r="K1091" s="59"/>
      <c r="L1091" s="59"/>
      <c r="M1091" s="59"/>
      <c r="N1091" s="21"/>
      <c r="O1091" s="59"/>
      <c r="P1091" s="59"/>
      <c r="Q1091" s="59"/>
      <c r="R1091" s="59"/>
      <c r="S1091" s="59"/>
      <c r="T1091" s="59"/>
      <c r="U1091" s="59"/>
      <c r="V1091" s="59"/>
      <c r="W1091" s="59"/>
      <c r="X1091" s="59"/>
      <c r="Y1091" s="59"/>
      <c r="Z1091" s="10"/>
      <c r="AA1091" s="74"/>
      <c r="AB1091" s="59"/>
      <c r="AC1091" s="9"/>
    </row>
    <row r="1092">
      <c r="A1092" s="9"/>
      <c r="B1092" s="19"/>
      <c r="C1092" s="9"/>
      <c r="D1092" s="9"/>
      <c r="E1092" s="59"/>
      <c r="F1092" s="9"/>
      <c r="G1092" s="9"/>
      <c r="H1092" s="59"/>
      <c r="I1092" s="59"/>
      <c r="J1092" s="59"/>
      <c r="K1092" s="59"/>
      <c r="L1092" s="59"/>
      <c r="M1092" s="59"/>
      <c r="N1092" s="21"/>
      <c r="O1092" s="59"/>
      <c r="P1092" s="59"/>
      <c r="Q1092" s="59"/>
      <c r="R1092" s="59"/>
      <c r="S1092" s="59"/>
      <c r="T1092" s="59"/>
      <c r="U1092" s="59"/>
      <c r="V1092" s="59"/>
      <c r="W1092" s="59"/>
      <c r="X1092" s="59"/>
      <c r="Y1092" s="59"/>
      <c r="Z1092" s="10"/>
      <c r="AA1092" s="74"/>
      <c r="AB1092" s="59"/>
      <c r="AC1092" s="9"/>
    </row>
    <row r="1093">
      <c r="A1093" s="9"/>
      <c r="B1093" s="19"/>
      <c r="C1093" s="9"/>
      <c r="D1093" s="9"/>
      <c r="E1093" s="59"/>
      <c r="F1093" s="9"/>
      <c r="G1093" s="9"/>
      <c r="H1093" s="59"/>
      <c r="I1093" s="59"/>
      <c r="J1093" s="59"/>
      <c r="K1093" s="59"/>
      <c r="L1093" s="59"/>
      <c r="M1093" s="59"/>
      <c r="N1093" s="21"/>
      <c r="O1093" s="59"/>
      <c r="P1093" s="59"/>
      <c r="Q1093" s="59"/>
      <c r="R1093" s="59"/>
      <c r="S1093" s="59"/>
      <c r="T1093" s="59"/>
      <c r="U1093" s="59"/>
      <c r="V1093" s="59"/>
      <c r="W1093" s="59"/>
      <c r="X1093" s="59"/>
      <c r="Y1093" s="59"/>
      <c r="Z1093" s="10"/>
      <c r="AA1093" s="74"/>
      <c r="AB1093" s="59"/>
      <c r="AC1093" s="9"/>
    </row>
    <row r="1094">
      <c r="A1094" s="9"/>
      <c r="B1094" s="19"/>
      <c r="C1094" s="9"/>
      <c r="D1094" s="9"/>
      <c r="E1094" s="59"/>
      <c r="F1094" s="9"/>
      <c r="G1094" s="9"/>
      <c r="H1094" s="59"/>
      <c r="I1094" s="59"/>
      <c r="J1094" s="59"/>
      <c r="K1094" s="59"/>
      <c r="L1094" s="59"/>
      <c r="M1094" s="59"/>
      <c r="N1094" s="21"/>
      <c r="O1094" s="59"/>
      <c r="P1094" s="59"/>
      <c r="Q1094" s="59"/>
      <c r="R1094" s="59"/>
      <c r="S1094" s="59"/>
      <c r="T1094" s="59"/>
      <c r="U1094" s="59"/>
      <c r="V1094" s="59"/>
      <c r="W1094" s="59"/>
      <c r="X1094" s="59"/>
      <c r="Y1094" s="59"/>
      <c r="Z1094" s="10"/>
      <c r="AA1094" s="74"/>
      <c r="AB1094" s="59"/>
      <c r="AC1094" s="9"/>
    </row>
    <row r="1095">
      <c r="A1095" s="9"/>
      <c r="B1095" s="19"/>
      <c r="C1095" s="9"/>
      <c r="D1095" s="9"/>
      <c r="E1095" s="59"/>
      <c r="F1095" s="9"/>
      <c r="G1095" s="9"/>
      <c r="H1095" s="59"/>
      <c r="I1095" s="59"/>
      <c r="J1095" s="59"/>
      <c r="K1095" s="59"/>
      <c r="L1095" s="59"/>
      <c r="M1095" s="59"/>
      <c r="N1095" s="21"/>
      <c r="O1095" s="59"/>
      <c r="P1095" s="59"/>
      <c r="Q1095" s="59"/>
      <c r="R1095" s="59"/>
      <c r="S1095" s="59"/>
      <c r="T1095" s="59"/>
      <c r="U1095" s="59"/>
      <c r="V1095" s="59"/>
      <c r="W1095" s="59"/>
      <c r="X1095" s="59"/>
      <c r="Y1095" s="59"/>
      <c r="Z1095" s="10"/>
      <c r="AA1095" s="74"/>
      <c r="AB1095" s="59"/>
      <c r="AC1095" s="9"/>
    </row>
    <row r="1096">
      <c r="A1096" s="9"/>
      <c r="B1096" s="19"/>
      <c r="C1096" s="9"/>
      <c r="D1096" s="9"/>
      <c r="E1096" s="59"/>
      <c r="F1096" s="9"/>
      <c r="G1096" s="9"/>
      <c r="H1096" s="59"/>
      <c r="I1096" s="59"/>
      <c r="J1096" s="59"/>
      <c r="K1096" s="59"/>
      <c r="L1096" s="59"/>
      <c r="M1096" s="59"/>
      <c r="N1096" s="21"/>
      <c r="O1096" s="59"/>
      <c r="P1096" s="59"/>
      <c r="Q1096" s="59"/>
      <c r="R1096" s="59"/>
      <c r="S1096" s="59"/>
      <c r="T1096" s="59"/>
      <c r="U1096" s="59"/>
      <c r="V1096" s="59"/>
      <c r="W1096" s="59"/>
      <c r="X1096" s="59"/>
      <c r="Y1096" s="59"/>
      <c r="Z1096" s="10"/>
      <c r="AA1096" s="74"/>
      <c r="AB1096" s="59"/>
      <c r="AC1096" s="9"/>
    </row>
    <row r="1097">
      <c r="A1097" s="9"/>
      <c r="B1097" s="19"/>
      <c r="C1097" s="9"/>
      <c r="D1097" s="9"/>
      <c r="E1097" s="59"/>
      <c r="F1097" s="9"/>
      <c r="G1097" s="9"/>
      <c r="H1097" s="59"/>
      <c r="I1097" s="59"/>
      <c r="J1097" s="59"/>
      <c r="K1097" s="59"/>
      <c r="L1097" s="59"/>
      <c r="M1097" s="59"/>
      <c r="N1097" s="21"/>
      <c r="O1097" s="59"/>
      <c r="P1097" s="59"/>
      <c r="Q1097" s="59"/>
      <c r="R1097" s="59"/>
      <c r="S1097" s="59"/>
      <c r="T1097" s="59"/>
      <c r="U1097" s="59"/>
      <c r="V1097" s="59"/>
      <c r="W1097" s="59"/>
      <c r="X1097" s="59"/>
      <c r="Y1097" s="59"/>
      <c r="Z1097" s="10"/>
      <c r="AA1097" s="74"/>
      <c r="AB1097" s="59"/>
      <c r="AC1097" s="9"/>
    </row>
    <row r="1098">
      <c r="A1098" s="9"/>
      <c r="B1098" s="19"/>
      <c r="C1098" s="9"/>
      <c r="D1098" s="9"/>
      <c r="E1098" s="59"/>
      <c r="F1098" s="9"/>
      <c r="G1098" s="9"/>
      <c r="H1098" s="59"/>
      <c r="I1098" s="59"/>
      <c r="J1098" s="59"/>
      <c r="K1098" s="59"/>
      <c r="L1098" s="59"/>
      <c r="M1098" s="59"/>
      <c r="N1098" s="21"/>
      <c r="O1098" s="59"/>
      <c r="P1098" s="59"/>
      <c r="Q1098" s="59"/>
      <c r="R1098" s="59"/>
      <c r="S1098" s="59"/>
      <c r="T1098" s="59"/>
      <c r="U1098" s="59"/>
      <c r="V1098" s="59"/>
      <c r="W1098" s="59"/>
      <c r="X1098" s="59"/>
      <c r="Y1098" s="59"/>
      <c r="Z1098" s="10"/>
      <c r="AA1098" s="74"/>
      <c r="AB1098" s="59"/>
      <c r="AC1098" s="9"/>
    </row>
    <row r="1099">
      <c r="A1099" s="9"/>
      <c r="B1099" s="19"/>
      <c r="C1099" s="9"/>
      <c r="D1099" s="9"/>
      <c r="E1099" s="59"/>
      <c r="F1099" s="9"/>
      <c r="G1099" s="9"/>
      <c r="H1099" s="59"/>
      <c r="I1099" s="59"/>
      <c r="J1099" s="59"/>
      <c r="K1099" s="59"/>
      <c r="L1099" s="59"/>
      <c r="M1099" s="59"/>
      <c r="N1099" s="21"/>
      <c r="O1099" s="59"/>
      <c r="P1099" s="59"/>
      <c r="Q1099" s="59"/>
      <c r="R1099" s="59"/>
      <c r="S1099" s="59"/>
      <c r="T1099" s="59"/>
      <c r="U1099" s="59"/>
      <c r="V1099" s="59"/>
      <c r="W1099" s="59"/>
      <c r="X1099" s="59"/>
      <c r="Y1099" s="59"/>
      <c r="Z1099" s="10"/>
      <c r="AA1099" s="74"/>
      <c r="AB1099" s="59"/>
      <c r="AC1099" s="9"/>
    </row>
    <row r="1100">
      <c r="A1100" s="9"/>
      <c r="B1100" s="19"/>
      <c r="C1100" s="9"/>
      <c r="D1100" s="9"/>
      <c r="E1100" s="59"/>
      <c r="F1100" s="9"/>
      <c r="G1100" s="9"/>
      <c r="H1100" s="59"/>
      <c r="I1100" s="59"/>
      <c r="J1100" s="59"/>
      <c r="K1100" s="59"/>
      <c r="L1100" s="59"/>
      <c r="M1100" s="59"/>
      <c r="N1100" s="21"/>
      <c r="O1100" s="59"/>
      <c r="P1100" s="59"/>
      <c r="Q1100" s="59"/>
      <c r="R1100" s="59"/>
      <c r="S1100" s="59"/>
      <c r="T1100" s="59"/>
      <c r="U1100" s="59"/>
      <c r="V1100" s="59"/>
      <c r="W1100" s="59"/>
      <c r="X1100" s="59"/>
      <c r="Y1100" s="59"/>
      <c r="Z1100" s="10"/>
      <c r="AA1100" s="74"/>
      <c r="AB1100" s="59"/>
      <c r="AC1100" s="9"/>
    </row>
    <row r="1101">
      <c r="A1101" s="9"/>
      <c r="B1101" s="19"/>
      <c r="C1101" s="9"/>
      <c r="D1101" s="9"/>
      <c r="E1101" s="59"/>
      <c r="F1101" s="9"/>
      <c r="G1101" s="9"/>
      <c r="H1101" s="59"/>
      <c r="I1101" s="59"/>
      <c r="J1101" s="59"/>
      <c r="K1101" s="59"/>
      <c r="L1101" s="59"/>
      <c r="M1101" s="59"/>
      <c r="N1101" s="21"/>
      <c r="O1101" s="59"/>
      <c r="P1101" s="59"/>
      <c r="Q1101" s="59"/>
      <c r="R1101" s="59"/>
      <c r="S1101" s="59"/>
      <c r="T1101" s="59"/>
      <c r="U1101" s="59"/>
      <c r="V1101" s="59"/>
      <c r="W1101" s="59"/>
      <c r="X1101" s="59"/>
      <c r="Y1101" s="59"/>
      <c r="Z1101" s="10"/>
      <c r="AA1101" s="74"/>
      <c r="AB1101" s="59"/>
      <c r="AC1101" s="9"/>
    </row>
    <row r="1102">
      <c r="A1102" s="9"/>
      <c r="B1102" s="19"/>
      <c r="C1102" s="9"/>
      <c r="D1102" s="9"/>
      <c r="E1102" s="59"/>
      <c r="F1102" s="9"/>
      <c r="G1102" s="9"/>
      <c r="H1102" s="59"/>
      <c r="I1102" s="59"/>
      <c r="J1102" s="59"/>
      <c r="K1102" s="59"/>
      <c r="L1102" s="59"/>
      <c r="M1102" s="59"/>
      <c r="N1102" s="21"/>
      <c r="O1102" s="59"/>
      <c r="P1102" s="59"/>
      <c r="Q1102" s="59"/>
      <c r="R1102" s="59"/>
      <c r="S1102" s="59"/>
      <c r="T1102" s="59"/>
      <c r="U1102" s="59"/>
      <c r="V1102" s="59"/>
      <c r="W1102" s="59"/>
      <c r="X1102" s="59"/>
      <c r="Y1102" s="59"/>
      <c r="Z1102" s="10"/>
      <c r="AA1102" s="74"/>
      <c r="AB1102" s="59"/>
      <c r="AC1102" s="9"/>
    </row>
    <row r="1103">
      <c r="A1103" s="9"/>
      <c r="B1103" s="19"/>
      <c r="C1103" s="9"/>
      <c r="D1103" s="9"/>
      <c r="E1103" s="59"/>
      <c r="F1103" s="9"/>
      <c r="G1103" s="9"/>
      <c r="H1103" s="59"/>
      <c r="I1103" s="59"/>
      <c r="J1103" s="59"/>
      <c r="K1103" s="59"/>
      <c r="L1103" s="59"/>
      <c r="M1103" s="59"/>
      <c r="N1103" s="21"/>
      <c r="O1103" s="59"/>
      <c r="P1103" s="59"/>
      <c r="Q1103" s="59"/>
      <c r="R1103" s="59"/>
      <c r="S1103" s="59"/>
      <c r="T1103" s="59"/>
      <c r="U1103" s="59"/>
      <c r="V1103" s="59"/>
      <c r="W1103" s="59"/>
      <c r="X1103" s="59"/>
      <c r="Y1103" s="59"/>
      <c r="Z1103" s="10"/>
      <c r="AA1103" s="74"/>
      <c r="AB1103" s="59"/>
      <c r="AC1103" s="9"/>
    </row>
    <row r="1104">
      <c r="A1104" s="9"/>
      <c r="B1104" s="19"/>
      <c r="C1104" s="9"/>
      <c r="D1104" s="9"/>
      <c r="E1104" s="59"/>
      <c r="F1104" s="9"/>
      <c r="G1104" s="9"/>
      <c r="H1104" s="59"/>
      <c r="I1104" s="59"/>
      <c r="J1104" s="59"/>
      <c r="K1104" s="59"/>
      <c r="L1104" s="59"/>
      <c r="M1104" s="59"/>
      <c r="N1104" s="21"/>
      <c r="O1104" s="59"/>
      <c r="P1104" s="59"/>
      <c r="Q1104" s="59"/>
      <c r="R1104" s="59"/>
      <c r="S1104" s="59"/>
      <c r="T1104" s="59"/>
      <c r="U1104" s="59"/>
      <c r="V1104" s="59"/>
      <c r="W1104" s="59"/>
      <c r="X1104" s="59"/>
      <c r="Y1104" s="59"/>
      <c r="Z1104" s="10"/>
      <c r="AA1104" s="74"/>
      <c r="AB1104" s="59"/>
      <c r="AC1104" s="9"/>
    </row>
    <row r="1105">
      <c r="A1105" s="9"/>
      <c r="B1105" s="19"/>
      <c r="C1105" s="9"/>
      <c r="D1105" s="9"/>
      <c r="E1105" s="59"/>
      <c r="F1105" s="9"/>
      <c r="G1105" s="9"/>
      <c r="H1105" s="59"/>
      <c r="I1105" s="59"/>
      <c r="J1105" s="59"/>
      <c r="K1105" s="59"/>
      <c r="L1105" s="59"/>
      <c r="M1105" s="59"/>
      <c r="N1105" s="21"/>
      <c r="O1105" s="59"/>
      <c r="P1105" s="59"/>
      <c r="Q1105" s="59"/>
      <c r="R1105" s="59"/>
      <c r="S1105" s="59"/>
      <c r="T1105" s="59"/>
      <c r="U1105" s="59"/>
      <c r="V1105" s="59"/>
      <c r="W1105" s="59"/>
      <c r="X1105" s="59"/>
      <c r="Y1105" s="59"/>
      <c r="Z1105" s="10"/>
      <c r="AA1105" s="74"/>
      <c r="AB1105" s="59"/>
      <c r="AC1105" s="9"/>
    </row>
    <row r="1106">
      <c r="A1106" s="9"/>
      <c r="B1106" s="19"/>
      <c r="C1106" s="9"/>
      <c r="D1106" s="9"/>
      <c r="E1106" s="59"/>
      <c r="F1106" s="9"/>
      <c r="G1106" s="9"/>
      <c r="H1106" s="59"/>
      <c r="I1106" s="59"/>
      <c r="J1106" s="59"/>
      <c r="K1106" s="59"/>
      <c r="L1106" s="59"/>
      <c r="M1106" s="59"/>
      <c r="N1106" s="21"/>
      <c r="O1106" s="59"/>
      <c r="P1106" s="59"/>
      <c r="Q1106" s="59"/>
      <c r="R1106" s="59"/>
      <c r="S1106" s="59"/>
      <c r="T1106" s="59"/>
      <c r="U1106" s="59"/>
      <c r="V1106" s="59"/>
      <c r="W1106" s="59"/>
      <c r="X1106" s="59"/>
      <c r="Y1106" s="59"/>
      <c r="Z1106" s="10"/>
      <c r="AA1106" s="74"/>
      <c r="AB1106" s="59"/>
      <c r="AC1106" s="9"/>
    </row>
    <row r="1107">
      <c r="A1107" s="9"/>
      <c r="B1107" s="19"/>
      <c r="C1107" s="9"/>
      <c r="D1107" s="9"/>
      <c r="E1107" s="59"/>
      <c r="F1107" s="9"/>
      <c r="G1107" s="9"/>
      <c r="H1107" s="59"/>
      <c r="I1107" s="59"/>
      <c r="J1107" s="59"/>
      <c r="K1107" s="59"/>
      <c r="L1107" s="59"/>
      <c r="M1107" s="59"/>
      <c r="N1107" s="21"/>
      <c r="O1107" s="59"/>
      <c r="P1107" s="59"/>
      <c r="Q1107" s="59"/>
      <c r="R1107" s="59"/>
      <c r="S1107" s="59"/>
      <c r="T1107" s="59"/>
      <c r="U1107" s="59"/>
      <c r="V1107" s="59"/>
      <c r="W1107" s="59"/>
      <c r="X1107" s="59"/>
      <c r="Y1107" s="59"/>
      <c r="Z1107" s="10"/>
      <c r="AA1107" s="74"/>
      <c r="AB1107" s="59"/>
      <c r="AC1107" s="9"/>
    </row>
    <row r="1108">
      <c r="A1108" s="9"/>
      <c r="B1108" s="19"/>
      <c r="C1108" s="9"/>
      <c r="D1108" s="9"/>
      <c r="E1108" s="59"/>
      <c r="F1108" s="9"/>
      <c r="G1108" s="9"/>
      <c r="H1108" s="59"/>
      <c r="I1108" s="59"/>
      <c r="J1108" s="59"/>
      <c r="K1108" s="59"/>
      <c r="L1108" s="59"/>
      <c r="M1108" s="59"/>
      <c r="N1108" s="21"/>
      <c r="O1108" s="59"/>
      <c r="P1108" s="59"/>
      <c r="Q1108" s="59"/>
      <c r="R1108" s="59"/>
      <c r="S1108" s="59"/>
      <c r="T1108" s="59"/>
      <c r="U1108" s="59"/>
      <c r="V1108" s="59"/>
      <c r="W1108" s="59"/>
      <c r="X1108" s="59"/>
      <c r="Y1108" s="59"/>
      <c r="Z1108" s="10"/>
      <c r="AA1108" s="74"/>
      <c r="AB1108" s="59"/>
      <c r="AC1108" s="9"/>
    </row>
    <row r="1109">
      <c r="A1109" s="9"/>
      <c r="B1109" s="19"/>
      <c r="C1109" s="9"/>
      <c r="D1109" s="9"/>
      <c r="E1109" s="59"/>
      <c r="F1109" s="9"/>
      <c r="G1109" s="9"/>
      <c r="H1109" s="59"/>
      <c r="I1109" s="59"/>
      <c r="J1109" s="59"/>
      <c r="K1109" s="59"/>
      <c r="L1109" s="59"/>
      <c r="M1109" s="59"/>
      <c r="N1109" s="21"/>
      <c r="O1109" s="59"/>
      <c r="P1109" s="59"/>
      <c r="Q1109" s="59"/>
      <c r="R1109" s="59"/>
      <c r="S1109" s="59"/>
      <c r="T1109" s="59"/>
      <c r="U1109" s="59"/>
      <c r="V1109" s="59"/>
      <c r="W1109" s="59"/>
      <c r="X1109" s="59"/>
      <c r="Y1109" s="59"/>
      <c r="Z1109" s="10"/>
      <c r="AA1109" s="74"/>
      <c r="AB1109" s="59"/>
      <c r="AC1109" s="9"/>
    </row>
    <row r="1110">
      <c r="A1110" s="9"/>
      <c r="B1110" s="19"/>
      <c r="C1110" s="9"/>
      <c r="D1110" s="9"/>
      <c r="E1110" s="59"/>
      <c r="F1110" s="9"/>
      <c r="G1110" s="9"/>
      <c r="H1110" s="59"/>
      <c r="I1110" s="59"/>
      <c r="J1110" s="59"/>
      <c r="K1110" s="59"/>
      <c r="L1110" s="59"/>
      <c r="M1110" s="59"/>
      <c r="N1110" s="21"/>
      <c r="O1110" s="59"/>
      <c r="P1110" s="59"/>
      <c r="Q1110" s="59"/>
      <c r="R1110" s="59"/>
      <c r="S1110" s="59"/>
      <c r="T1110" s="59"/>
      <c r="U1110" s="59"/>
      <c r="V1110" s="59"/>
      <c r="W1110" s="59"/>
      <c r="X1110" s="59"/>
      <c r="Y1110" s="59"/>
      <c r="Z1110" s="10"/>
      <c r="AA1110" s="74"/>
      <c r="AB1110" s="59"/>
      <c r="AC1110" s="9"/>
    </row>
    <row r="1111">
      <c r="A1111" s="9"/>
      <c r="B1111" s="19"/>
      <c r="C1111" s="9"/>
      <c r="D1111" s="9"/>
      <c r="E1111" s="59"/>
      <c r="F1111" s="9"/>
      <c r="G1111" s="9"/>
      <c r="H1111" s="59"/>
      <c r="I1111" s="59"/>
      <c r="J1111" s="59"/>
      <c r="K1111" s="59"/>
      <c r="L1111" s="59"/>
      <c r="M1111" s="59"/>
      <c r="N1111" s="21"/>
      <c r="O1111" s="59"/>
      <c r="P1111" s="59"/>
      <c r="Q1111" s="59"/>
      <c r="R1111" s="59"/>
      <c r="S1111" s="59"/>
      <c r="T1111" s="59"/>
      <c r="U1111" s="59"/>
      <c r="V1111" s="59"/>
      <c r="W1111" s="59"/>
      <c r="X1111" s="59"/>
      <c r="Y1111" s="59"/>
      <c r="Z1111" s="10"/>
      <c r="AA1111" s="74"/>
      <c r="AB1111" s="59"/>
      <c r="AC1111" s="9"/>
    </row>
    <row r="1112">
      <c r="A1112" s="9"/>
      <c r="B1112" s="19"/>
      <c r="C1112" s="9"/>
      <c r="D1112" s="9"/>
      <c r="E1112" s="59"/>
      <c r="F1112" s="9"/>
      <c r="G1112" s="9"/>
      <c r="H1112" s="59"/>
      <c r="I1112" s="59"/>
      <c r="J1112" s="59"/>
      <c r="K1112" s="59"/>
      <c r="L1112" s="59"/>
      <c r="M1112" s="59"/>
      <c r="N1112" s="21"/>
      <c r="O1112" s="59"/>
      <c r="P1112" s="59"/>
      <c r="Q1112" s="59"/>
      <c r="R1112" s="59"/>
      <c r="S1112" s="59"/>
      <c r="T1112" s="59"/>
      <c r="U1112" s="59"/>
      <c r="V1112" s="59"/>
      <c r="W1112" s="59"/>
      <c r="X1112" s="59"/>
      <c r="Y1112" s="59"/>
      <c r="Z1112" s="10"/>
      <c r="AA1112" s="74"/>
      <c r="AB1112" s="59"/>
      <c r="AC1112" s="9"/>
    </row>
    <row r="1113">
      <c r="A1113" s="9"/>
      <c r="B1113" s="19"/>
      <c r="C1113" s="9"/>
      <c r="D1113" s="9"/>
      <c r="E1113" s="59"/>
      <c r="F1113" s="9"/>
      <c r="G1113" s="9"/>
      <c r="H1113" s="59"/>
      <c r="I1113" s="59"/>
      <c r="J1113" s="59"/>
      <c r="K1113" s="59"/>
      <c r="L1113" s="59"/>
      <c r="M1113" s="59"/>
      <c r="N1113" s="21"/>
      <c r="O1113" s="59"/>
      <c r="P1113" s="59"/>
      <c r="Q1113" s="59"/>
      <c r="R1113" s="59"/>
      <c r="S1113" s="59"/>
      <c r="T1113" s="59"/>
      <c r="U1113" s="59"/>
      <c r="V1113" s="59"/>
      <c r="W1113" s="59"/>
      <c r="X1113" s="59"/>
      <c r="Y1113" s="59"/>
      <c r="Z1113" s="10"/>
      <c r="AA1113" s="74"/>
      <c r="AB1113" s="59"/>
      <c r="AC1113" s="9"/>
    </row>
    <row r="1114">
      <c r="A1114" s="9"/>
      <c r="B1114" s="19"/>
      <c r="C1114" s="9"/>
      <c r="D1114" s="9"/>
      <c r="E1114" s="59"/>
      <c r="F1114" s="9"/>
      <c r="G1114" s="9"/>
      <c r="H1114" s="59"/>
      <c r="I1114" s="59"/>
      <c r="J1114" s="59"/>
      <c r="K1114" s="59"/>
      <c r="L1114" s="59"/>
      <c r="M1114" s="59"/>
      <c r="N1114" s="21"/>
      <c r="O1114" s="59"/>
      <c r="P1114" s="59"/>
      <c r="Q1114" s="59"/>
      <c r="R1114" s="59"/>
      <c r="S1114" s="59"/>
      <c r="T1114" s="59"/>
      <c r="U1114" s="59"/>
      <c r="V1114" s="59"/>
      <c r="W1114" s="59"/>
      <c r="X1114" s="59"/>
      <c r="Y1114" s="59"/>
      <c r="Z1114" s="10"/>
      <c r="AA1114" s="74"/>
      <c r="AB1114" s="59"/>
      <c r="AC1114" s="9"/>
    </row>
    <row r="1115">
      <c r="A1115" s="9"/>
      <c r="B1115" s="19"/>
      <c r="C1115" s="9"/>
      <c r="D1115" s="9"/>
      <c r="E1115" s="59"/>
      <c r="F1115" s="9"/>
      <c r="G1115" s="9"/>
      <c r="H1115" s="59"/>
      <c r="I1115" s="59"/>
      <c r="J1115" s="59"/>
      <c r="K1115" s="59"/>
      <c r="L1115" s="59"/>
      <c r="M1115" s="59"/>
      <c r="N1115" s="21"/>
      <c r="O1115" s="59"/>
      <c r="P1115" s="59"/>
      <c r="Q1115" s="59"/>
      <c r="R1115" s="59"/>
      <c r="S1115" s="59"/>
      <c r="T1115" s="59"/>
      <c r="U1115" s="59"/>
      <c r="V1115" s="59"/>
      <c r="W1115" s="59"/>
      <c r="X1115" s="59"/>
      <c r="Y1115" s="59"/>
      <c r="Z1115" s="10"/>
      <c r="AA1115" s="74"/>
      <c r="AB1115" s="59"/>
      <c r="AC1115" s="9"/>
    </row>
    <row r="1116">
      <c r="A1116" s="9"/>
      <c r="B1116" s="19"/>
      <c r="C1116" s="9"/>
      <c r="D1116" s="9"/>
      <c r="E1116" s="59"/>
      <c r="F1116" s="9"/>
      <c r="G1116" s="9"/>
      <c r="H1116" s="59"/>
      <c r="I1116" s="59"/>
      <c r="J1116" s="59"/>
      <c r="K1116" s="59"/>
      <c r="L1116" s="59"/>
      <c r="M1116" s="59"/>
      <c r="N1116" s="21"/>
      <c r="O1116" s="59"/>
      <c r="P1116" s="59"/>
      <c r="Q1116" s="59"/>
      <c r="R1116" s="59"/>
      <c r="S1116" s="59"/>
      <c r="T1116" s="59"/>
      <c r="U1116" s="59"/>
      <c r="V1116" s="59"/>
      <c r="W1116" s="59"/>
      <c r="X1116" s="59"/>
      <c r="Y1116" s="59"/>
      <c r="Z1116" s="10"/>
      <c r="AA1116" s="74"/>
      <c r="AB1116" s="59"/>
      <c r="AC1116" s="9"/>
    </row>
    <row r="1117">
      <c r="A1117" s="9"/>
      <c r="B1117" s="19"/>
      <c r="C1117" s="9"/>
      <c r="D1117" s="9"/>
      <c r="E1117" s="59"/>
      <c r="F1117" s="9"/>
      <c r="G1117" s="9"/>
      <c r="H1117" s="59"/>
      <c r="I1117" s="59"/>
      <c r="J1117" s="59"/>
      <c r="K1117" s="59"/>
      <c r="L1117" s="59"/>
      <c r="M1117" s="59"/>
      <c r="N1117" s="21"/>
      <c r="O1117" s="59"/>
      <c r="P1117" s="59"/>
      <c r="Q1117" s="59"/>
      <c r="R1117" s="59"/>
      <c r="S1117" s="59"/>
      <c r="T1117" s="59"/>
      <c r="U1117" s="59"/>
      <c r="V1117" s="59"/>
      <c r="W1117" s="59"/>
      <c r="X1117" s="59"/>
      <c r="Y1117" s="59"/>
      <c r="Z1117" s="10"/>
      <c r="AA1117" s="74"/>
      <c r="AB1117" s="59"/>
      <c r="AC1117" s="9"/>
    </row>
    <row r="1118">
      <c r="A1118" s="9"/>
      <c r="B1118" s="19"/>
      <c r="C1118" s="9"/>
      <c r="D1118" s="9"/>
      <c r="E1118" s="59"/>
      <c r="F1118" s="9"/>
      <c r="G1118" s="9"/>
      <c r="H1118" s="59"/>
      <c r="I1118" s="59"/>
      <c r="J1118" s="59"/>
      <c r="K1118" s="59"/>
      <c r="L1118" s="59"/>
      <c r="M1118" s="59"/>
      <c r="N1118" s="21"/>
      <c r="O1118" s="59"/>
      <c r="P1118" s="59"/>
      <c r="Q1118" s="59"/>
      <c r="R1118" s="59"/>
      <c r="S1118" s="59"/>
      <c r="T1118" s="59"/>
      <c r="U1118" s="59"/>
      <c r="V1118" s="59"/>
      <c r="W1118" s="59"/>
      <c r="X1118" s="59"/>
      <c r="Y1118" s="59"/>
      <c r="Z1118" s="10"/>
      <c r="AA1118" s="74"/>
      <c r="AB1118" s="59"/>
      <c r="AC1118" s="9"/>
    </row>
    <row r="1119">
      <c r="A1119" s="9"/>
      <c r="B1119" s="19"/>
      <c r="C1119" s="9"/>
      <c r="D1119" s="9"/>
      <c r="E1119" s="59"/>
      <c r="F1119" s="9"/>
      <c r="G1119" s="9"/>
      <c r="H1119" s="59"/>
      <c r="I1119" s="59"/>
      <c r="J1119" s="59"/>
      <c r="K1119" s="59"/>
      <c r="L1119" s="59"/>
      <c r="M1119" s="59"/>
      <c r="N1119" s="21"/>
      <c r="O1119" s="59"/>
      <c r="P1119" s="59"/>
      <c r="Q1119" s="59"/>
      <c r="R1119" s="59"/>
      <c r="S1119" s="59"/>
      <c r="T1119" s="59"/>
      <c r="U1119" s="59"/>
      <c r="V1119" s="59"/>
      <c r="W1119" s="59"/>
      <c r="X1119" s="59"/>
      <c r="Y1119" s="59"/>
      <c r="Z1119" s="10"/>
      <c r="AA1119" s="74"/>
      <c r="AB1119" s="59"/>
      <c r="AC1119" s="9"/>
    </row>
    <row r="1120">
      <c r="A1120" s="9"/>
      <c r="B1120" s="19"/>
      <c r="C1120" s="9"/>
      <c r="D1120" s="9"/>
      <c r="E1120" s="59"/>
      <c r="F1120" s="9"/>
      <c r="G1120" s="9"/>
      <c r="H1120" s="59"/>
      <c r="I1120" s="59"/>
      <c r="J1120" s="59"/>
      <c r="K1120" s="59"/>
      <c r="L1120" s="59"/>
      <c r="M1120" s="59"/>
      <c r="N1120" s="21"/>
      <c r="O1120" s="59"/>
      <c r="P1120" s="59"/>
      <c r="Q1120" s="59"/>
      <c r="R1120" s="59"/>
      <c r="S1120" s="59"/>
      <c r="T1120" s="59"/>
      <c r="U1120" s="59"/>
      <c r="V1120" s="59"/>
      <c r="W1120" s="59"/>
      <c r="X1120" s="59"/>
      <c r="Y1120" s="59"/>
      <c r="Z1120" s="10"/>
      <c r="AA1120" s="74"/>
      <c r="AB1120" s="59"/>
      <c r="AC1120" s="9"/>
    </row>
    <row r="1121">
      <c r="A1121" s="9"/>
      <c r="B1121" s="19"/>
      <c r="C1121" s="9"/>
      <c r="D1121" s="9"/>
      <c r="E1121" s="59"/>
      <c r="F1121" s="9"/>
      <c r="G1121" s="9"/>
      <c r="H1121" s="59"/>
      <c r="I1121" s="59"/>
      <c r="J1121" s="59"/>
      <c r="K1121" s="59"/>
      <c r="L1121" s="59"/>
      <c r="M1121" s="59"/>
      <c r="N1121" s="21"/>
      <c r="O1121" s="59"/>
      <c r="P1121" s="59"/>
      <c r="Q1121" s="59"/>
      <c r="R1121" s="59"/>
      <c r="S1121" s="59"/>
      <c r="T1121" s="59"/>
      <c r="U1121" s="59"/>
      <c r="V1121" s="59"/>
      <c r="W1121" s="59"/>
      <c r="X1121" s="59"/>
      <c r="Y1121" s="59"/>
      <c r="Z1121" s="10"/>
      <c r="AA1121" s="74"/>
      <c r="AB1121" s="59"/>
      <c r="AC1121" s="9"/>
    </row>
    <row r="1122">
      <c r="A1122" s="9"/>
      <c r="B1122" s="19"/>
      <c r="C1122" s="9"/>
      <c r="D1122" s="9"/>
      <c r="E1122" s="59"/>
      <c r="F1122" s="9"/>
      <c r="G1122" s="9"/>
      <c r="H1122" s="59"/>
      <c r="I1122" s="59"/>
      <c r="J1122" s="59"/>
      <c r="K1122" s="59"/>
      <c r="L1122" s="59"/>
      <c r="M1122" s="59"/>
      <c r="N1122" s="21"/>
      <c r="O1122" s="59"/>
      <c r="P1122" s="59"/>
      <c r="Q1122" s="59"/>
      <c r="R1122" s="59"/>
      <c r="S1122" s="59"/>
      <c r="T1122" s="59"/>
      <c r="U1122" s="59"/>
      <c r="V1122" s="59"/>
      <c r="W1122" s="59"/>
      <c r="X1122" s="59"/>
      <c r="Y1122" s="59"/>
      <c r="Z1122" s="10"/>
      <c r="AA1122" s="74"/>
      <c r="AB1122" s="59"/>
      <c r="AC1122" s="9"/>
    </row>
    <row r="1123">
      <c r="A1123" s="9"/>
      <c r="B1123" s="19"/>
      <c r="C1123" s="9"/>
      <c r="D1123" s="9"/>
      <c r="E1123" s="59"/>
      <c r="F1123" s="9"/>
      <c r="G1123" s="9"/>
      <c r="H1123" s="59"/>
      <c r="I1123" s="59"/>
      <c r="J1123" s="59"/>
      <c r="K1123" s="59"/>
      <c r="L1123" s="59"/>
      <c r="M1123" s="59"/>
      <c r="N1123" s="21"/>
      <c r="O1123" s="59"/>
      <c r="P1123" s="59"/>
      <c r="Q1123" s="59"/>
      <c r="R1123" s="59"/>
      <c r="S1123" s="59"/>
      <c r="T1123" s="59"/>
      <c r="U1123" s="59"/>
      <c r="V1123" s="59"/>
      <c r="W1123" s="59"/>
      <c r="X1123" s="59"/>
      <c r="Y1123" s="59"/>
      <c r="Z1123" s="10"/>
      <c r="AA1123" s="74"/>
      <c r="AB1123" s="59"/>
      <c r="AC1123" s="9"/>
    </row>
    <row r="1124">
      <c r="A1124" s="9"/>
      <c r="B1124" s="19"/>
      <c r="C1124" s="9"/>
      <c r="D1124" s="9"/>
      <c r="E1124" s="59"/>
      <c r="F1124" s="9"/>
      <c r="G1124" s="9"/>
      <c r="H1124" s="59"/>
      <c r="I1124" s="59"/>
      <c r="J1124" s="59"/>
      <c r="K1124" s="59"/>
      <c r="L1124" s="59"/>
      <c r="M1124" s="59"/>
      <c r="N1124" s="21"/>
      <c r="O1124" s="59"/>
      <c r="P1124" s="59"/>
      <c r="Q1124" s="59"/>
      <c r="R1124" s="59"/>
      <c r="S1124" s="59"/>
      <c r="T1124" s="59"/>
      <c r="U1124" s="59"/>
      <c r="V1124" s="59"/>
      <c r="W1124" s="59"/>
      <c r="X1124" s="59"/>
      <c r="Y1124" s="59"/>
      <c r="Z1124" s="10"/>
      <c r="AA1124" s="74"/>
      <c r="AB1124" s="59"/>
      <c r="AC1124" s="9"/>
    </row>
    <row r="1125">
      <c r="A1125" s="9"/>
      <c r="B1125" s="19"/>
      <c r="C1125" s="9"/>
      <c r="D1125" s="9"/>
      <c r="E1125" s="59"/>
      <c r="F1125" s="9"/>
      <c r="G1125" s="9"/>
      <c r="H1125" s="59"/>
      <c r="I1125" s="59"/>
      <c r="J1125" s="59"/>
      <c r="K1125" s="59"/>
      <c r="L1125" s="59"/>
      <c r="M1125" s="59"/>
      <c r="N1125" s="21"/>
      <c r="O1125" s="59"/>
      <c r="P1125" s="59"/>
      <c r="Q1125" s="59"/>
      <c r="R1125" s="59"/>
      <c r="S1125" s="59"/>
      <c r="T1125" s="59"/>
      <c r="U1125" s="59"/>
      <c r="V1125" s="59"/>
      <c r="W1125" s="59"/>
      <c r="X1125" s="59"/>
      <c r="Y1125" s="59"/>
      <c r="Z1125" s="10"/>
      <c r="AA1125" s="74"/>
      <c r="AB1125" s="59"/>
      <c r="AC1125" s="9"/>
    </row>
    <row r="1126">
      <c r="A1126" s="9"/>
      <c r="B1126" s="19"/>
      <c r="C1126" s="9"/>
      <c r="D1126" s="9"/>
      <c r="E1126" s="59"/>
      <c r="F1126" s="9"/>
      <c r="G1126" s="9"/>
      <c r="H1126" s="59"/>
      <c r="I1126" s="59"/>
      <c r="J1126" s="59"/>
      <c r="K1126" s="59"/>
      <c r="L1126" s="59"/>
      <c r="M1126" s="59"/>
      <c r="N1126" s="21"/>
      <c r="O1126" s="59"/>
      <c r="P1126" s="59"/>
      <c r="Q1126" s="59"/>
      <c r="R1126" s="59"/>
      <c r="S1126" s="59"/>
      <c r="T1126" s="59"/>
      <c r="U1126" s="59"/>
      <c r="V1126" s="59"/>
      <c r="W1126" s="59"/>
      <c r="X1126" s="59"/>
      <c r="Y1126" s="59"/>
      <c r="Z1126" s="10"/>
      <c r="AA1126" s="74"/>
      <c r="AB1126" s="59"/>
      <c r="AC1126" s="9"/>
    </row>
    <row r="1127">
      <c r="A1127" s="9"/>
      <c r="B1127" s="19"/>
      <c r="C1127" s="9"/>
      <c r="D1127" s="9"/>
      <c r="E1127" s="59"/>
      <c r="F1127" s="9"/>
      <c r="G1127" s="9"/>
      <c r="H1127" s="59"/>
      <c r="I1127" s="59"/>
      <c r="J1127" s="59"/>
      <c r="K1127" s="59"/>
      <c r="L1127" s="59"/>
      <c r="M1127" s="59"/>
      <c r="N1127" s="21"/>
      <c r="O1127" s="59"/>
      <c r="P1127" s="59"/>
      <c r="Q1127" s="59"/>
      <c r="R1127" s="59"/>
      <c r="S1127" s="59"/>
      <c r="T1127" s="59"/>
      <c r="U1127" s="59"/>
      <c r="V1127" s="59"/>
      <c r="W1127" s="59"/>
      <c r="X1127" s="59"/>
      <c r="Y1127" s="59"/>
      <c r="Z1127" s="10"/>
      <c r="AA1127" s="74"/>
      <c r="AB1127" s="59"/>
      <c r="AC1127" s="9"/>
    </row>
    <row r="1128">
      <c r="A1128" s="9"/>
      <c r="B1128" s="19"/>
      <c r="C1128" s="9"/>
      <c r="D1128" s="9"/>
      <c r="E1128" s="59"/>
      <c r="F1128" s="9"/>
      <c r="G1128" s="9"/>
      <c r="H1128" s="59"/>
      <c r="I1128" s="59"/>
      <c r="J1128" s="59"/>
      <c r="K1128" s="59"/>
      <c r="L1128" s="59"/>
      <c r="M1128" s="59"/>
      <c r="N1128" s="21"/>
      <c r="O1128" s="59"/>
      <c r="P1128" s="59"/>
      <c r="Q1128" s="59"/>
      <c r="R1128" s="59"/>
      <c r="S1128" s="59"/>
      <c r="T1128" s="59"/>
      <c r="U1128" s="59"/>
      <c r="V1128" s="59"/>
      <c r="W1128" s="59"/>
      <c r="X1128" s="59"/>
      <c r="Y1128" s="59"/>
      <c r="Z1128" s="10"/>
      <c r="AA1128" s="74"/>
      <c r="AB1128" s="59"/>
      <c r="AC1128" s="9"/>
    </row>
    <row r="1129">
      <c r="A1129" s="9"/>
      <c r="B1129" s="19"/>
      <c r="C1129" s="9"/>
      <c r="D1129" s="9"/>
      <c r="E1129" s="59"/>
      <c r="F1129" s="9"/>
      <c r="G1129" s="9"/>
      <c r="H1129" s="59"/>
      <c r="I1129" s="59"/>
      <c r="J1129" s="59"/>
      <c r="K1129" s="59"/>
      <c r="L1129" s="59"/>
      <c r="M1129" s="59"/>
      <c r="N1129" s="21"/>
      <c r="O1129" s="59"/>
      <c r="P1129" s="59"/>
      <c r="Q1129" s="59"/>
      <c r="R1129" s="59"/>
      <c r="S1129" s="59"/>
      <c r="T1129" s="59"/>
      <c r="U1129" s="59"/>
      <c r="V1129" s="59"/>
      <c r="W1129" s="59"/>
      <c r="X1129" s="59"/>
      <c r="Y1129" s="59"/>
      <c r="Z1129" s="10"/>
      <c r="AA1129" s="74"/>
      <c r="AB1129" s="59"/>
      <c r="AC1129" s="9"/>
    </row>
    <row r="1130">
      <c r="A1130" s="9"/>
      <c r="B1130" s="19"/>
      <c r="C1130" s="9"/>
      <c r="D1130" s="9"/>
      <c r="E1130" s="59"/>
      <c r="F1130" s="9"/>
      <c r="G1130" s="9"/>
      <c r="H1130" s="59"/>
      <c r="I1130" s="59"/>
      <c r="J1130" s="59"/>
      <c r="K1130" s="59"/>
      <c r="L1130" s="59"/>
      <c r="M1130" s="59"/>
      <c r="N1130" s="21"/>
      <c r="O1130" s="59"/>
      <c r="P1130" s="59"/>
      <c r="Q1130" s="59"/>
      <c r="R1130" s="59"/>
      <c r="S1130" s="59"/>
      <c r="T1130" s="59"/>
      <c r="U1130" s="59"/>
      <c r="V1130" s="59"/>
      <c r="W1130" s="59"/>
      <c r="X1130" s="59"/>
      <c r="Y1130" s="59"/>
      <c r="Z1130" s="10"/>
      <c r="AA1130" s="74"/>
      <c r="AB1130" s="59"/>
      <c r="AC1130" s="9"/>
    </row>
    <row r="1131">
      <c r="A1131" s="9"/>
      <c r="B1131" s="19"/>
      <c r="C1131" s="9"/>
      <c r="D1131" s="9"/>
      <c r="E1131" s="59"/>
      <c r="F1131" s="9"/>
      <c r="G1131" s="9"/>
      <c r="H1131" s="59"/>
      <c r="I1131" s="59"/>
      <c r="J1131" s="59"/>
      <c r="K1131" s="59"/>
      <c r="L1131" s="59"/>
      <c r="M1131" s="59"/>
      <c r="N1131" s="21"/>
      <c r="O1131" s="59"/>
      <c r="P1131" s="59"/>
      <c r="Q1131" s="59"/>
      <c r="R1131" s="59"/>
      <c r="S1131" s="59"/>
      <c r="T1131" s="59"/>
      <c r="U1131" s="59"/>
      <c r="V1131" s="59"/>
      <c r="W1131" s="59"/>
      <c r="X1131" s="59"/>
      <c r="Y1131" s="59"/>
      <c r="Z1131" s="10"/>
      <c r="AA1131" s="74"/>
      <c r="AB1131" s="59"/>
      <c r="AC1131" s="9"/>
    </row>
    <row r="1132">
      <c r="A1132" s="9"/>
      <c r="B1132" s="19"/>
      <c r="C1132" s="9"/>
      <c r="D1132" s="9"/>
      <c r="E1132" s="59"/>
      <c r="F1132" s="9"/>
      <c r="G1132" s="9"/>
      <c r="H1132" s="59"/>
      <c r="I1132" s="59"/>
      <c r="J1132" s="59"/>
      <c r="K1132" s="59"/>
      <c r="L1132" s="59"/>
      <c r="M1132" s="59"/>
      <c r="N1132" s="21"/>
      <c r="O1132" s="59"/>
      <c r="P1132" s="59"/>
      <c r="Q1132" s="59"/>
      <c r="R1132" s="59"/>
      <c r="S1132" s="59"/>
      <c r="T1132" s="59"/>
      <c r="U1132" s="59"/>
      <c r="V1132" s="59"/>
      <c r="W1132" s="59"/>
      <c r="X1132" s="59"/>
      <c r="Y1132" s="59"/>
      <c r="Z1132" s="10"/>
      <c r="AA1132" s="74"/>
      <c r="AB1132" s="59"/>
      <c r="AC1132" s="9"/>
    </row>
    <row r="1133">
      <c r="A1133" s="9"/>
      <c r="B1133" s="19"/>
      <c r="C1133" s="9"/>
      <c r="D1133" s="9"/>
      <c r="E1133" s="59"/>
      <c r="F1133" s="9"/>
      <c r="G1133" s="9"/>
      <c r="H1133" s="59"/>
      <c r="I1133" s="59"/>
      <c r="J1133" s="59"/>
      <c r="K1133" s="59"/>
      <c r="L1133" s="59"/>
      <c r="M1133" s="59"/>
      <c r="N1133" s="21"/>
      <c r="O1133" s="59"/>
      <c r="P1133" s="59"/>
      <c r="Q1133" s="59"/>
      <c r="R1133" s="59"/>
      <c r="S1133" s="59"/>
      <c r="T1133" s="59"/>
      <c r="U1133" s="59"/>
      <c r="V1133" s="59"/>
      <c r="W1133" s="59"/>
      <c r="X1133" s="59"/>
      <c r="Y1133" s="59"/>
      <c r="Z1133" s="10"/>
      <c r="AA1133" s="74"/>
      <c r="AB1133" s="59"/>
      <c r="AC1133" s="9"/>
    </row>
    <row r="1134">
      <c r="A1134" s="9"/>
      <c r="B1134" s="19"/>
      <c r="C1134" s="9"/>
      <c r="D1134" s="9"/>
      <c r="E1134" s="59"/>
      <c r="F1134" s="9"/>
      <c r="G1134" s="9"/>
      <c r="H1134" s="59"/>
      <c r="I1134" s="59"/>
      <c r="J1134" s="59"/>
      <c r="K1134" s="59"/>
      <c r="L1134" s="59"/>
      <c r="M1134" s="59"/>
      <c r="N1134" s="21"/>
      <c r="O1134" s="59"/>
      <c r="P1134" s="59"/>
      <c r="Q1134" s="59"/>
      <c r="R1134" s="59"/>
      <c r="S1134" s="59"/>
      <c r="T1134" s="59"/>
      <c r="U1134" s="59"/>
      <c r="V1134" s="59"/>
      <c r="W1134" s="59"/>
      <c r="X1134" s="59"/>
      <c r="Y1134" s="59"/>
      <c r="Z1134" s="10"/>
      <c r="AA1134" s="74"/>
      <c r="AB1134" s="59"/>
      <c r="AC1134" s="9"/>
    </row>
    <row r="1135">
      <c r="A1135" s="9"/>
      <c r="B1135" s="19"/>
      <c r="C1135" s="9"/>
      <c r="D1135" s="9"/>
      <c r="E1135" s="59"/>
      <c r="F1135" s="9"/>
      <c r="G1135" s="9"/>
      <c r="H1135" s="59"/>
      <c r="I1135" s="59"/>
      <c r="J1135" s="59"/>
      <c r="K1135" s="59"/>
      <c r="L1135" s="59"/>
      <c r="M1135" s="59"/>
      <c r="N1135" s="21"/>
      <c r="O1135" s="59"/>
      <c r="P1135" s="59"/>
      <c r="Q1135" s="59"/>
      <c r="R1135" s="59"/>
      <c r="S1135" s="59"/>
      <c r="T1135" s="59"/>
      <c r="U1135" s="59"/>
      <c r="V1135" s="59"/>
      <c r="W1135" s="59"/>
      <c r="X1135" s="59"/>
      <c r="Y1135" s="59"/>
      <c r="Z1135" s="10"/>
      <c r="AA1135" s="74"/>
      <c r="AB1135" s="59"/>
      <c r="AC1135" s="9"/>
    </row>
    <row r="1136">
      <c r="A1136" s="9"/>
      <c r="B1136" s="19"/>
      <c r="C1136" s="9"/>
      <c r="D1136" s="9"/>
      <c r="E1136" s="59"/>
      <c r="F1136" s="9"/>
      <c r="G1136" s="9"/>
      <c r="H1136" s="59"/>
      <c r="I1136" s="59"/>
      <c r="J1136" s="59"/>
      <c r="K1136" s="59"/>
      <c r="L1136" s="59"/>
      <c r="M1136" s="59"/>
      <c r="N1136" s="21"/>
      <c r="O1136" s="59"/>
      <c r="P1136" s="59"/>
      <c r="Q1136" s="59"/>
      <c r="R1136" s="59"/>
      <c r="S1136" s="59"/>
      <c r="T1136" s="59"/>
      <c r="U1136" s="59"/>
      <c r="V1136" s="59"/>
      <c r="W1136" s="59"/>
      <c r="X1136" s="59"/>
      <c r="Y1136" s="59"/>
      <c r="Z1136" s="10"/>
      <c r="AA1136" s="74"/>
      <c r="AB1136" s="59"/>
      <c r="AC1136" s="9"/>
    </row>
    <row r="1137">
      <c r="A1137" s="9"/>
      <c r="B1137" s="19"/>
      <c r="C1137" s="9"/>
      <c r="D1137" s="9"/>
      <c r="E1137" s="59"/>
      <c r="F1137" s="9"/>
      <c r="G1137" s="9"/>
      <c r="H1137" s="59"/>
      <c r="I1137" s="59"/>
      <c r="J1137" s="59"/>
      <c r="K1137" s="59"/>
      <c r="L1137" s="59"/>
      <c r="M1137" s="59"/>
      <c r="N1137" s="21"/>
      <c r="O1137" s="59"/>
      <c r="P1137" s="59"/>
      <c r="Q1137" s="59"/>
      <c r="R1137" s="59"/>
      <c r="S1137" s="59"/>
      <c r="T1137" s="59"/>
      <c r="U1137" s="59"/>
      <c r="V1137" s="59"/>
      <c r="W1137" s="59"/>
      <c r="X1137" s="59"/>
      <c r="Y1137" s="59"/>
      <c r="Z1137" s="10"/>
      <c r="AA1137" s="74"/>
      <c r="AB1137" s="59"/>
      <c r="AC1137" s="9"/>
    </row>
    <row r="1138">
      <c r="A1138" s="9"/>
      <c r="B1138" s="19"/>
      <c r="C1138" s="9"/>
      <c r="D1138" s="9"/>
      <c r="E1138" s="59"/>
      <c r="F1138" s="9"/>
      <c r="G1138" s="9"/>
      <c r="H1138" s="59"/>
      <c r="I1138" s="59"/>
      <c r="J1138" s="59"/>
      <c r="K1138" s="59"/>
      <c r="L1138" s="59"/>
      <c r="M1138" s="59"/>
      <c r="N1138" s="21"/>
      <c r="O1138" s="59"/>
      <c r="P1138" s="59"/>
      <c r="Q1138" s="59"/>
      <c r="R1138" s="59"/>
      <c r="S1138" s="59"/>
      <c r="T1138" s="59"/>
      <c r="U1138" s="59"/>
      <c r="V1138" s="59"/>
      <c r="W1138" s="59"/>
      <c r="X1138" s="59"/>
      <c r="Y1138" s="59"/>
      <c r="Z1138" s="10"/>
      <c r="AA1138" s="74"/>
      <c r="AB1138" s="59"/>
      <c r="AC1138" s="9"/>
    </row>
    <row r="1139">
      <c r="A1139" s="9"/>
      <c r="B1139" s="19"/>
      <c r="C1139" s="9"/>
      <c r="D1139" s="9"/>
      <c r="E1139" s="59"/>
      <c r="F1139" s="9"/>
      <c r="G1139" s="9"/>
      <c r="H1139" s="59"/>
      <c r="I1139" s="59"/>
      <c r="J1139" s="59"/>
      <c r="K1139" s="59"/>
      <c r="L1139" s="59"/>
      <c r="M1139" s="59"/>
      <c r="N1139" s="21"/>
      <c r="O1139" s="59"/>
      <c r="P1139" s="59"/>
      <c r="Q1139" s="59"/>
      <c r="R1139" s="59"/>
      <c r="S1139" s="59"/>
      <c r="T1139" s="59"/>
      <c r="U1139" s="59"/>
      <c r="V1139" s="59"/>
      <c r="W1139" s="59"/>
      <c r="X1139" s="59"/>
      <c r="Y1139" s="59"/>
      <c r="Z1139" s="10"/>
      <c r="AA1139" s="74"/>
      <c r="AB1139" s="59"/>
      <c r="AC1139" s="9"/>
    </row>
    <row r="1140">
      <c r="A1140" s="9"/>
      <c r="B1140" s="19"/>
      <c r="C1140" s="9"/>
      <c r="D1140" s="9"/>
      <c r="E1140" s="59"/>
      <c r="F1140" s="9"/>
      <c r="G1140" s="9"/>
      <c r="H1140" s="59"/>
      <c r="I1140" s="59"/>
      <c r="J1140" s="59"/>
      <c r="K1140" s="59"/>
      <c r="L1140" s="59"/>
      <c r="M1140" s="59"/>
      <c r="N1140" s="21"/>
      <c r="O1140" s="59"/>
      <c r="P1140" s="59"/>
      <c r="Q1140" s="59"/>
      <c r="R1140" s="59"/>
      <c r="S1140" s="59"/>
      <c r="T1140" s="59"/>
      <c r="U1140" s="59"/>
      <c r="V1140" s="59"/>
      <c r="W1140" s="59"/>
      <c r="X1140" s="59"/>
      <c r="Y1140" s="59"/>
      <c r="Z1140" s="10"/>
      <c r="AA1140" s="74"/>
      <c r="AB1140" s="59"/>
      <c r="AC1140" s="9"/>
    </row>
    <row r="1141">
      <c r="A1141" s="9"/>
      <c r="B1141" s="19"/>
      <c r="C1141" s="9"/>
      <c r="D1141" s="9"/>
      <c r="E1141" s="59"/>
      <c r="F1141" s="9"/>
      <c r="G1141" s="9"/>
      <c r="H1141" s="59"/>
      <c r="I1141" s="59"/>
      <c r="J1141" s="59"/>
      <c r="K1141" s="59"/>
      <c r="L1141" s="59"/>
      <c r="M1141" s="59"/>
      <c r="N1141" s="21"/>
      <c r="O1141" s="59"/>
      <c r="P1141" s="59"/>
      <c r="Q1141" s="59"/>
      <c r="R1141" s="59"/>
      <c r="S1141" s="59"/>
      <c r="T1141" s="59"/>
      <c r="U1141" s="59"/>
      <c r="V1141" s="59"/>
      <c r="W1141" s="59"/>
      <c r="X1141" s="59"/>
      <c r="Y1141" s="59"/>
      <c r="Z1141" s="10"/>
      <c r="AA1141" s="74"/>
      <c r="AB1141" s="59"/>
      <c r="AC1141" s="9"/>
    </row>
    <row r="1142">
      <c r="A1142" s="9"/>
      <c r="B1142" s="19"/>
      <c r="C1142" s="9"/>
      <c r="D1142" s="9"/>
      <c r="E1142" s="59"/>
      <c r="F1142" s="9"/>
      <c r="G1142" s="9"/>
      <c r="H1142" s="59"/>
      <c r="I1142" s="59"/>
      <c r="J1142" s="59"/>
      <c r="K1142" s="59"/>
      <c r="L1142" s="59"/>
      <c r="M1142" s="59"/>
      <c r="N1142" s="21"/>
      <c r="O1142" s="59"/>
      <c r="P1142" s="59"/>
      <c r="Q1142" s="59"/>
      <c r="R1142" s="59"/>
      <c r="S1142" s="59"/>
      <c r="T1142" s="59"/>
      <c r="U1142" s="59"/>
      <c r="V1142" s="59"/>
      <c r="W1142" s="59"/>
      <c r="X1142" s="59"/>
      <c r="Y1142" s="59"/>
      <c r="Z1142" s="10"/>
      <c r="AA1142" s="74"/>
      <c r="AB1142" s="59"/>
      <c r="AC1142" s="9"/>
    </row>
    <row r="1143">
      <c r="A1143" s="9"/>
      <c r="B1143" s="19"/>
      <c r="C1143" s="9"/>
      <c r="D1143" s="9"/>
      <c r="E1143" s="59"/>
      <c r="F1143" s="9"/>
      <c r="G1143" s="9"/>
      <c r="H1143" s="59"/>
      <c r="I1143" s="59"/>
      <c r="J1143" s="59"/>
      <c r="K1143" s="59"/>
      <c r="L1143" s="59"/>
      <c r="M1143" s="59"/>
      <c r="N1143" s="21"/>
      <c r="O1143" s="59"/>
      <c r="P1143" s="59"/>
      <c r="Q1143" s="59"/>
      <c r="R1143" s="59"/>
      <c r="S1143" s="59"/>
      <c r="T1143" s="59"/>
      <c r="U1143" s="59"/>
      <c r="V1143" s="59"/>
      <c r="W1143" s="59"/>
      <c r="X1143" s="59"/>
      <c r="Y1143" s="59"/>
      <c r="Z1143" s="10"/>
      <c r="AA1143" s="74"/>
      <c r="AB1143" s="59"/>
      <c r="AC1143" s="9"/>
    </row>
    <row r="1144">
      <c r="A1144" s="9"/>
      <c r="B1144" s="19"/>
      <c r="C1144" s="9"/>
      <c r="D1144" s="9"/>
      <c r="E1144" s="59"/>
      <c r="F1144" s="9"/>
      <c r="G1144" s="9"/>
      <c r="H1144" s="59"/>
      <c r="I1144" s="59"/>
      <c r="J1144" s="59"/>
      <c r="K1144" s="59"/>
      <c r="L1144" s="59"/>
      <c r="M1144" s="59"/>
      <c r="N1144" s="21"/>
      <c r="O1144" s="59"/>
      <c r="P1144" s="59"/>
      <c r="Q1144" s="59"/>
      <c r="R1144" s="59"/>
      <c r="S1144" s="59"/>
      <c r="T1144" s="59"/>
      <c r="U1144" s="59"/>
      <c r="V1144" s="59"/>
      <c r="W1144" s="59"/>
      <c r="X1144" s="59"/>
      <c r="Y1144" s="59"/>
      <c r="Z1144" s="10"/>
      <c r="AA1144" s="74"/>
      <c r="AB1144" s="59"/>
      <c r="AC1144" s="9"/>
    </row>
    <row r="1145">
      <c r="A1145" s="9"/>
      <c r="B1145" s="19"/>
      <c r="C1145" s="9"/>
      <c r="D1145" s="9"/>
      <c r="E1145" s="59"/>
      <c r="F1145" s="9"/>
      <c r="G1145" s="9"/>
      <c r="H1145" s="59"/>
      <c r="I1145" s="59"/>
      <c r="J1145" s="59"/>
      <c r="K1145" s="59"/>
      <c r="L1145" s="59"/>
      <c r="M1145" s="59"/>
      <c r="N1145" s="21"/>
      <c r="O1145" s="59"/>
      <c r="P1145" s="59"/>
      <c r="Q1145" s="59"/>
      <c r="R1145" s="59"/>
      <c r="S1145" s="59"/>
      <c r="T1145" s="59"/>
      <c r="U1145" s="59"/>
      <c r="V1145" s="59"/>
      <c r="W1145" s="59"/>
      <c r="X1145" s="59"/>
      <c r="Y1145" s="59"/>
      <c r="Z1145" s="10"/>
      <c r="AA1145" s="74"/>
      <c r="AB1145" s="59"/>
      <c r="AC1145" s="9"/>
    </row>
    <row r="1146">
      <c r="A1146" s="9"/>
      <c r="B1146" s="19"/>
      <c r="C1146" s="9"/>
      <c r="D1146" s="9"/>
      <c r="E1146" s="59"/>
      <c r="F1146" s="9"/>
      <c r="G1146" s="9"/>
      <c r="H1146" s="59"/>
      <c r="I1146" s="59"/>
      <c r="J1146" s="59"/>
      <c r="K1146" s="59"/>
      <c r="L1146" s="59"/>
      <c r="M1146" s="59"/>
      <c r="N1146" s="21"/>
      <c r="O1146" s="59"/>
      <c r="P1146" s="59"/>
      <c r="Q1146" s="59"/>
      <c r="R1146" s="59"/>
      <c r="S1146" s="59"/>
      <c r="T1146" s="59"/>
      <c r="U1146" s="59"/>
      <c r="V1146" s="59"/>
      <c r="W1146" s="59"/>
      <c r="X1146" s="59"/>
      <c r="Y1146" s="59"/>
      <c r="Z1146" s="10"/>
      <c r="AA1146" s="74"/>
      <c r="AB1146" s="59"/>
      <c r="AC1146" s="9"/>
    </row>
    <row r="1147">
      <c r="A1147" s="9"/>
      <c r="B1147" s="19"/>
      <c r="C1147" s="9"/>
      <c r="D1147" s="9"/>
      <c r="E1147" s="59"/>
      <c r="F1147" s="9"/>
      <c r="G1147" s="9"/>
      <c r="H1147" s="59"/>
      <c r="I1147" s="59"/>
      <c r="J1147" s="59"/>
      <c r="K1147" s="59"/>
      <c r="L1147" s="59"/>
      <c r="M1147" s="59"/>
      <c r="N1147" s="21"/>
      <c r="O1147" s="59"/>
      <c r="P1147" s="59"/>
      <c r="Q1147" s="59"/>
      <c r="R1147" s="59"/>
      <c r="S1147" s="59"/>
      <c r="T1147" s="59"/>
      <c r="U1147" s="59"/>
      <c r="V1147" s="59"/>
      <c r="W1147" s="59"/>
      <c r="X1147" s="59"/>
      <c r="Y1147" s="59"/>
      <c r="Z1147" s="10"/>
      <c r="AA1147" s="74"/>
      <c r="AB1147" s="59"/>
      <c r="AC1147" s="9"/>
    </row>
    <row r="1148">
      <c r="A1148" s="9"/>
      <c r="B1148" s="19"/>
      <c r="C1148" s="9"/>
      <c r="D1148" s="9"/>
      <c r="E1148" s="59"/>
      <c r="F1148" s="9"/>
      <c r="G1148" s="9"/>
      <c r="H1148" s="59"/>
      <c r="I1148" s="59"/>
      <c r="J1148" s="59"/>
      <c r="K1148" s="59"/>
      <c r="L1148" s="59"/>
      <c r="M1148" s="59"/>
      <c r="N1148" s="21"/>
      <c r="O1148" s="59"/>
      <c r="P1148" s="59"/>
      <c r="Q1148" s="59"/>
      <c r="R1148" s="59"/>
      <c r="S1148" s="59"/>
      <c r="T1148" s="59"/>
      <c r="U1148" s="59"/>
      <c r="V1148" s="59"/>
      <c r="W1148" s="59"/>
      <c r="X1148" s="59"/>
      <c r="Y1148" s="59"/>
      <c r="Z1148" s="10"/>
      <c r="AA1148" s="74"/>
      <c r="AB1148" s="59"/>
      <c r="AC1148" s="9"/>
    </row>
    <row r="1149">
      <c r="A1149" s="9"/>
      <c r="B1149" s="19"/>
      <c r="C1149" s="9"/>
      <c r="D1149" s="9"/>
      <c r="E1149" s="59"/>
      <c r="F1149" s="9"/>
      <c r="G1149" s="9"/>
      <c r="H1149" s="59"/>
      <c r="I1149" s="59"/>
      <c r="J1149" s="59"/>
      <c r="K1149" s="59"/>
      <c r="L1149" s="59"/>
      <c r="M1149" s="59"/>
      <c r="N1149" s="21"/>
      <c r="O1149" s="59"/>
      <c r="P1149" s="59"/>
      <c r="Q1149" s="59"/>
      <c r="R1149" s="59"/>
      <c r="S1149" s="59"/>
      <c r="T1149" s="59"/>
      <c r="U1149" s="59"/>
      <c r="V1149" s="59"/>
      <c r="W1149" s="59"/>
      <c r="X1149" s="59"/>
      <c r="Y1149" s="59"/>
      <c r="Z1149" s="10"/>
      <c r="AA1149" s="74"/>
      <c r="AB1149" s="59"/>
      <c r="AC1149" s="9"/>
    </row>
    <row r="1150">
      <c r="A1150" s="9"/>
      <c r="B1150" s="19"/>
      <c r="C1150" s="9"/>
      <c r="D1150" s="9"/>
      <c r="E1150" s="59"/>
      <c r="F1150" s="9"/>
      <c r="G1150" s="9"/>
      <c r="H1150" s="59"/>
      <c r="I1150" s="59"/>
      <c r="J1150" s="59"/>
      <c r="K1150" s="59"/>
      <c r="L1150" s="59"/>
      <c r="M1150" s="59"/>
      <c r="N1150" s="21"/>
      <c r="O1150" s="59"/>
      <c r="P1150" s="59"/>
      <c r="Q1150" s="59"/>
      <c r="R1150" s="59"/>
      <c r="S1150" s="59"/>
      <c r="T1150" s="59"/>
      <c r="U1150" s="59"/>
      <c r="V1150" s="59"/>
      <c r="W1150" s="59"/>
      <c r="X1150" s="59"/>
      <c r="Y1150" s="59"/>
      <c r="Z1150" s="10"/>
      <c r="AA1150" s="74"/>
      <c r="AB1150" s="59"/>
      <c r="AC1150" s="9"/>
    </row>
    <row r="1151">
      <c r="A1151" s="9"/>
      <c r="B1151" s="19"/>
      <c r="C1151" s="9"/>
      <c r="D1151" s="9"/>
      <c r="E1151" s="59"/>
      <c r="F1151" s="9"/>
      <c r="G1151" s="9"/>
      <c r="H1151" s="59"/>
      <c r="I1151" s="59"/>
      <c r="J1151" s="59"/>
      <c r="K1151" s="59"/>
      <c r="L1151" s="59"/>
      <c r="M1151" s="59"/>
      <c r="N1151" s="21"/>
      <c r="O1151" s="59"/>
      <c r="P1151" s="59"/>
      <c r="Q1151" s="59"/>
      <c r="R1151" s="59"/>
      <c r="S1151" s="59"/>
      <c r="T1151" s="59"/>
      <c r="U1151" s="59"/>
      <c r="V1151" s="59"/>
      <c r="W1151" s="59"/>
      <c r="X1151" s="59"/>
      <c r="Y1151" s="59"/>
      <c r="Z1151" s="10"/>
      <c r="AA1151" s="74"/>
      <c r="AB1151" s="59"/>
      <c r="AC1151" s="9"/>
    </row>
    <row r="1152">
      <c r="A1152" s="9"/>
      <c r="B1152" s="19"/>
      <c r="C1152" s="9"/>
      <c r="D1152" s="9"/>
      <c r="E1152" s="59"/>
      <c r="F1152" s="9"/>
      <c r="G1152" s="9"/>
      <c r="H1152" s="59"/>
      <c r="I1152" s="59"/>
      <c r="J1152" s="59"/>
      <c r="K1152" s="59"/>
      <c r="L1152" s="59"/>
      <c r="M1152" s="59"/>
      <c r="N1152" s="21"/>
      <c r="O1152" s="59"/>
      <c r="P1152" s="59"/>
      <c r="Q1152" s="59"/>
      <c r="R1152" s="59"/>
      <c r="S1152" s="59"/>
      <c r="T1152" s="59"/>
      <c r="U1152" s="59"/>
      <c r="V1152" s="59"/>
      <c r="W1152" s="59"/>
      <c r="X1152" s="59"/>
      <c r="Y1152" s="59"/>
      <c r="Z1152" s="10"/>
      <c r="AA1152" s="74"/>
      <c r="AB1152" s="59"/>
      <c r="AC1152" s="9"/>
    </row>
    <row r="1153">
      <c r="A1153" s="9"/>
      <c r="B1153" s="19"/>
      <c r="C1153" s="9"/>
      <c r="D1153" s="9"/>
      <c r="E1153" s="59"/>
      <c r="F1153" s="9"/>
      <c r="G1153" s="9"/>
      <c r="H1153" s="59"/>
      <c r="I1153" s="59"/>
      <c r="J1153" s="59"/>
      <c r="K1153" s="59"/>
      <c r="L1153" s="59"/>
      <c r="M1153" s="59"/>
      <c r="N1153" s="21"/>
      <c r="O1153" s="59"/>
      <c r="P1153" s="59"/>
      <c r="Q1153" s="59"/>
      <c r="R1153" s="59"/>
      <c r="S1153" s="59"/>
      <c r="T1153" s="59"/>
      <c r="U1153" s="59"/>
      <c r="V1153" s="59"/>
      <c r="W1153" s="59"/>
      <c r="X1153" s="59"/>
      <c r="Y1153" s="59"/>
      <c r="Z1153" s="10"/>
      <c r="AA1153" s="74"/>
      <c r="AB1153" s="59"/>
      <c r="AC1153" s="9"/>
    </row>
    <row r="1154">
      <c r="A1154" s="9"/>
      <c r="B1154" s="19"/>
      <c r="C1154" s="9"/>
      <c r="D1154" s="9"/>
      <c r="E1154" s="59"/>
      <c r="F1154" s="9"/>
      <c r="G1154" s="9"/>
      <c r="H1154" s="59"/>
      <c r="I1154" s="59"/>
      <c r="J1154" s="59"/>
      <c r="K1154" s="59"/>
      <c r="L1154" s="59"/>
      <c r="M1154" s="59"/>
      <c r="N1154" s="21"/>
      <c r="O1154" s="59"/>
      <c r="P1154" s="59"/>
      <c r="Q1154" s="59"/>
      <c r="R1154" s="59"/>
      <c r="S1154" s="59"/>
      <c r="T1154" s="59"/>
      <c r="U1154" s="59"/>
      <c r="V1154" s="59"/>
      <c r="W1154" s="59"/>
      <c r="X1154" s="59"/>
      <c r="Y1154" s="59"/>
      <c r="Z1154" s="10"/>
      <c r="AA1154" s="74"/>
      <c r="AB1154" s="59"/>
      <c r="AC1154" s="9"/>
    </row>
    <row r="1155">
      <c r="A1155" s="9"/>
      <c r="B1155" s="19"/>
      <c r="C1155" s="9"/>
      <c r="D1155" s="9"/>
      <c r="E1155" s="59"/>
      <c r="F1155" s="9"/>
      <c r="G1155" s="9"/>
      <c r="H1155" s="59"/>
      <c r="I1155" s="59"/>
      <c r="J1155" s="59"/>
      <c r="K1155" s="59"/>
      <c r="L1155" s="59"/>
      <c r="M1155" s="59"/>
      <c r="N1155" s="21"/>
      <c r="O1155" s="59"/>
      <c r="P1155" s="59"/>
      <c r="Q1155" s="59"/>
      <c r="R1155" s="59"/>
      <c r="S1155" s="59"/>
      <c r="T1155" s="59"/>
      <c r="U1155" s="59"/>
      <c r="V1155" s="59"/>
      <c r="W1155" s="59"/>
      <c r="X1155" s="59"/>
      <c r="Y1155" s="59"/>
      <c r="Z1155" s="10"/>
      <c r="AA1155" s="74"/>
      <c r="AB1155" s="59"/>
      <c r="AC1155" s="9"/>
    </row>
    <row r="1156">
      <c r="A1156" s="9"/>
      <c r="B1156" s="19"/>
      <c r="C1156" s="9"/>
      <c r="D1156" s="9"/>
      <c r="E1156" s="59"/>
      <c r="F1156" s="9"/>
      <c r="G1156" s="9"/>
      <c r="H1156" s="59"/>
      <c r="I1156" s="59"/>
      <c r="J1156" s="59"/>
      <c r="K1156" s="59"/>
      <c r="L1156" s="59"/>
      <c r="M1156" s="59"/>
      <c r="N1156" s="21"/>
      <c r="O1156" s="59"/>
      <c r="P1156" s="59"/>
      <c r="Q1156" s="59"/>
      <c r="R1156" s="59"/>
      <c r="S1156" s="59"/>
      <c r="T1156" s="59"/>
      <c r="U1156" s="59"/>
      <c r="V1156" s="59"/>
      <c r="W1156" s="59"/>
      <c r="X1156" s="59"/>
      <c r="Y1156" s="59"/>
      <c r="Z1156" s="10"/>
      <c r="AA1156" s="74"/>
      <c r="AB1156" s="59"/>
      <c r="AC1156" s="9"/>
    </row>
    <row r="1157">
      <c r="A1157" s="9"/>
      <c r="B1157" s="19"/>
      <c r="C1157" s="9"/>
      <c r="D1157" s="9"/>
      <c r="E1157" s="59"/>
      <c r="F1157" s="9"/>
      <c r="G1157" s="9"/>
      <c r="H1157" s="59"/>
      <c r="I1157" s="59"/>
      <c r="J1157" s="59"/>
      <c r="K1157" s="59"/>
      <c r="L1157" s="59"/>
      <c r="M1157" s="59"/>
      <c r="N1157" s="21"/>
      <c r="O1157" s="59"/>
      <c r="P1157" s="59"/>
      <c r="Q1157" s="59"/>
      <c r="R1157" s="59"/>
      <c r="S1157" s="59"/>
      <c r="T1157" s="59"/>
      <c r="U1157" s="59"/>
      <c r="V1157" s="59"/>
      <c r="W1157" s="59"/>
      <c r="X1157" s="59"/>
      <c r="Y1157" s="59"/>
      <c r="Z1157" s="10"/>
      <c r="AA1157" s="74"/>
      <c r="AB1157" s="59"/>
      <c r="AC1157" s="9"/>
    </row>
    <row r="1158">
      <c r="A1158" s="9"/>
      <c r="B1158" s="19"/>
      <c r="C1158" s="9"/>
      <c r="D1158" s="9"/>
      <c r="E1158" s="59"/>
      <c r="F1158" s="9"/>
      <c r="G1158" s="9"/>
      <c r="H1158" s="59"/>
      <c r="I1158" s="59"/>
      <c r="J1158" s="59"/>
      <c r="K1158" s="59"/>
      <c r="L1158" s="59"/>
      <c r="M1158" s="59"/>
      <c r="N1158" s="21"/>
      <c r="O1158" s="59"/>
      <c r="P1158" s="59"/>
      <c r="Q1158" s="59"/>
      <c r="R1158" s="59"/>
      <c r="S1158" s="59"/>
      <c r="T1158" s="59"/>
      <c r="U1158" s="59"/>
      <c r="V1158" s="59"/>
      <c r="W1158" s="59"/>
      <c r="X1158" s="59"/>
      <c r="Y1158" s="59"/>
      <c r="Z1158" s="10"/>
      <c r="AA1158" s="74"/>
      <c r="AB1158" s="59"/>
      <c r="AC1158" s="9"/>
    </row>
    <row r="1159">
      <c r="A1159" s="9"/>
      <c r="B1159" s="19"/>
      <c r="C1159" s="9"/>
      <c r="D1159" s="9"/>
      <c r="E1159" s="59"/>
      <c r="F1159" s="9"/>
      <c r="G1159" s="9"/>
      <c r="H1159" s="59"/>
      <c r="I1159" s="59"/>
      <c r="J1159" s="59"/>
      <c r="K1159" s="59"/>
      <c r="L1159" s="59"/>
      <c r="M1159" s="59"/>
      <c r="N1159" s="21"/>
      <c r="O1159" s="59"/>
      <c r="P1159" s="59"/>
      <c r="Q1159" s="59"/>
      <c r="R1159" s="59"/>
      <c r="S1159" s="59"/>
      <c r="T1159" s="59"/>
      <c r="U1159" s="59"/>
      <c r="V1159" s="59"/>
      <c r="W1159" s="59"/>
      <c r="X1159" s="59"/>
      <c r="Y1159" s="59"/>
      <c r="Z1159" s="10"/>
      <c r="AA1159" s="74"/>
      <c r="AB1159" s="59"/>
      <c r="AC1159" s="9"/>
    </row>
    <row r="1160">
      <c r="A1160" s="9"/>
      <c r="B1160" s="19"/>
      <c r="C1160" s="9"/>
      <c r="D1160" s="9"/>
      <c r="E1160" s="59"/>
      <c r="F1160" s="9"/>
      <c r="G1160" s="9"/>
      <c r="H1160" s="59"/>
      <c r="I1160" s="59"/>
      <c r="J1160" s="59"/>
      <c r="K1160" s="59"/>
      <c r="L1160" s="59"/>
      <c r="M1160" s="59"/>
      <c r="N1160" s="21"/>
      <c r="O1160" s="59"/>
      <c r="P1160" s="59"/>
      <c r="Q1160" s="59"/>
      <c r="R1160" s="59"/>
      <c r="S1160" s="59"/>
      <c r="T1160" s="59"/>
      <c r="U1160" s="59"/>
      <c r="V1160" s="59"/>
      <c r="W1160" s="59"/>
      <c r="X1160" s="59"/>
      <c r="Y1160" s="59"/>
      <c r="Z1160" s="10"/>
      <c r="AA1160" s="74"/>
      <c r="AB1160" s="59"/>
      <c r="AC1160" s="9"/>
    </row>
    <row r="1161">
      <c r="A1161" s="9"/>
      <c r="B1161" s="19"/>
      <c r="C1161" s="9"/>
      <c r="D1161" s="9"/>
      <c r="E1161" s="59"/>
      <c r="F1161" s="9"/>
      <c r="G1161" s="9"/>
      <c r="H1161" s="59"/>
      <c r="I1161" s="59"/>
      <c r="J1161" s="59"/>
      <c r="K1161" s="59"/>
      <c r="L1161" s="59"/>
      <c r="M1161" s="59"/>
      <c r="N1161" s="21"/>
      <c r="O1161" s="59"/>
      <c r="P1161" s="59"/>
      <c r="Q1161" s="59"/>
      <c r="R1161" s="59"/>
      <c r="S1161" s="59"/>
      <c r="T1161" s="59"/>
      <c r="U1161" s="59"/>
      <c r="V1161" s="59"/>
      <c r="W1161" s="59"/>
      <c r="X1161" s="59"/>
      <c r="Y1161" s="59"/>
      <c r="Z1161" s="10"/>
      <c r="AA1161" s="74"/>
      <c r="AB1161" s="59"/>
      <c r="AC1161" s="9"/>
    </row>
    <row r="1162">
      <c r="A1162" s="9"/>
      <c r="B1162" s="19"/>
      <c r="C1162" s="9"/>
      <c r="D1162" s="9"/>
      <c r="E1162" s="59"/>
      <c r="F1162" s="9"/>
      <c r="G1162" s="9"/>
      <c r="H1162" s="59"/>
      <c r="I1162" s="59"/>
      <c r="J1162" s="59"/>
      <c r="K1162" s="59"/>
      <c r="L1162" s="59"/>
      <c r="M1162" s="59"/>
      <c r="N1162" s="21"/>
      <c r="O1162" s="59"/>
      <c r="P1162" s="59"/>
      <c r="Q1162" s="59"/>
      <c r="R1162" s="59"/>
      <c r="S1162" s="59"/>
      <c r="T1162" s="59"/>
      <c r="U1162" s="59"/>
      <c r="V1162" s="59"/>
      <c r="W1162" s="59"/>
      <c r="X1162" s="59"/>
      <c r="Y1162" s="59"/>
      <c r="Z1162" s="10"/>
      <c r="AA1162" s="74"/>
      <c r="AB1162" s="59"/>
      <c r="AC1162" s="9"/>
    </row>
    <row r="1163">
      <c r="A1163" s="9"/>
      <c r="B1163" s="19"/>
      <c r="C1163" s="9"/>
      <c r="D1163" s="9"/>
      <c r="E1163" s="59"/>
      <c r="F1163" s="9"/>
      <c r="G1163" s="9"/>
      <c r="H1163" s="59"/>
      <c r="I1163" s="59"/>
      <c r="J1163" s="59"/>
      <c r="K1163" s="59"/>
      <c r="L1163" s="59"/>
      <c r="M1163" s="59"/>
      <c r="N1163" s="21"/>
      <c r="O1163" s="59"/>
      <c r="P1163" s="59"/>
      <c r="Q1163" s="59"/>
      <c r="R1163" s="59"/>
      <c r="S1163" s="59"/>
      <c r="T1163" s="59"/>
      <c r="U1163" s="59"/>
      <c r="V1163" s="59"/>
      <c r="W1163" s="59"/>
      <c r="X1163" s="59"/>
      <c r="Y1163" s="59"/>
      <c r="Z1163" s="10"/>
      <c r="AA1163" s="74"/>
      <c r="AB1163" s="59"/>
      <c r="AC1163" s="9"/>
    </row>
    <row r="1164">
      <c r="A1164" s="9"/>
      <c r="B1164" s="19"/>
      <c r="C1164" s="9"/>
      <c r="D1164" s="9"/>
      <c r="E1164" s="59"/>
      <c r="F1164" s="9"/>
      <c r="G1164" s="9"/>
      <c r="H1164" s="59"/>
      <c r="I1164" s="59"/>
      <c r="J1164" s="59"/>
      <c r="K1164" s="59"/>
      <c r="L1164" s="59"/>
      <c r="M1164" s="59"/>
      <c r="N1164" s="21"/>
      <c r="O1164" s="59"/>
      <c r="P1164" s="59"/>
      <c r="Q1164" s="59"/>
      <c r="R1164" s="59"/>
      <c r="S1164" s="59"/>
      <c r="T1164" s="59"/>
      <c r="U1164" s="59"/>
      <c r="V1164" s="59"/>
      <c r="W1164" s="59"/>
      <c r="X1164" s="59"/>
      <c r="Y1164" s="59"/>
      <c r="Z1164" s="10"/>
      <c r="AA1164" s="74"/>
      <c r="AB1164" s="59"/>
      <c r="AC1164" s="9"/>
    </row>
    <row r="1165">
      <c r="A1165" s="9"/>
      <c r="B1165" s="19"/>
      <c r="C1165" s="9"/>
      <c r="D1165" s="9"/>
      <c r="E1165" s="59"/>
      <c r="F1165" s="9"/>
      <c r="G1165" s="9"/>
      <c r="H1165" s="59"/>
      <c r="I1165" s="59"/>
      <c r="J1165" s="59"/>
      <c r="K1165" s="59"/>
      <c r="L1165" s="59"/>
      <c r="M1165" s="59"/>
      <c r="N1165" s="21"/>
      <c r="O1165" s="59"/>
      <c r="P1165" s="59"/>
      <c r="Q1165" s="59"/>
      <c r="R1165" s="59"/>
      <c r="S1165" s="59"/>
      <c r="T1165" s="59"/>
      <c r="U1165" s="59"/>
      <c r="V1165" s="59"/>
      <c r="W1165" s="59"/>
      <c r="X1165" s="59"/>
      <c r="Y1165" s="59"/>
      <c r="Z1165" s="10"/>
      <c r="AA1165" s="74"/>
      <c r="AB1165" s="59"/>
      <c r="AC1165" s="9"/>
    </row>
    <row r="1166">
      <c r="A1166" s="9"/>
      <c r="B1166" s="19"/>
      <c r="C1166" s="9"/>
      <c r="D1166" s="9"/>
      <c r="E1166" s="59"/>
      <c r="F1166" s="9"/>
      <c r="G1166" s="9"/>
      <c r="H1166" s="59"/>
      <c r="I1166" s="59"/>
      <c r="J1166" s="59"/>
      <c r="K1166" s="59"/>
      <c r="L1166" s="59"/>
      <c r="M1166" s="59"/>
      <c r="N1166" s="21"/>
      <c r="O1166" s="59"/>
      <c r="P1166" s="59"/>
      <c r="Q1166" s="59"/>
      <c r="R1166" s="59"/>
      <c r="S1166" s="59"/>
      <c r="T1166" s="59"/>
      <c r="U1166" s="59"/>
      <c r="V1166" s="59"/>
      <c r="W1166" s="59"/>
      <c r="X1166" s="59"/>
      <c r="Y1166" s="59"/>
      <c r="Z1166" s="10"/>
      <c r="AA1166" s="74"/>
      <c r="AB1166" s="59"/>
      <c r="AC1166" s="9"/>
    </row>
    <row r="1167">
      <c r="A1167" s="9"/>
      <c r="B1167" s="19"/>
      <c r="C1167" s="9"/>
      <c r="D1167" s="9"/>
      <c r="E1167" s="59"/>
      <c r="F1167" s="9"/>
      <c r="G1167" s="9"/>
      <c r="H1167" s="59"/>
      <c r="I1167" s="59"/>
      <c r="J1167" s="59"/>
      <c r="K1167" s="59"/>
      <c r="L1167" s="59"/>
      <c r="M1167" s="59"/>
      <c r="N1167" s="21"/>
      <c r="O1167" s="59"/>
      <c r="P1167" s="59"/>
      <c r="Q1167" s="59"/>
      <c r="R1167" s="59"/>
      <c r="S1167" s="59"/>
      <c r="T1167" s="59"/>
      <c r="U1167" s="59"/>
      <c r="V1167" s="59"/>
      <c r="W1167" s="59"/>
      <c r="X1167" s="59"/>
      <c r="Y1167" s="59"/>
      <c r="Z1167" s="10"/>
      <c r="AA1167" s="74"/>
      <c r="AB1167" s="59"/>
      <c r="AC1167" s="9"/>
    </row>
    <row r="1168">
      <c r="A1168" s="9"/>
      <c r="B1168" s="19"/>
      <c r="C1168" s="9"/>
      <c r="D1168" s="9"/>
      <c r="E1168" s="59"/>
      <c r="F1168" s="9"/>
      <c r="G1168" s="9"/>
      <c r="H1168" s="59"/>
      <c r="I1168" s="59"/>
      <c r="J1168" s="59"/>
      <c r="K1168" s="59"/>
      <c r="L1168" s="59"/>
      <c r="M1168" s="59"/>
      <c r="N1168" s="21"/>
      <c r="O1168" s="59"/>
      <c r="P1168" s="59"/>
      <c r="Q1168" s="59"/>
      <c r="R1168" s="59"/>
      <c r="S1168" s="59"/>
      <c r="T1168" s="59"/>
      <c r="U1168" s="59"/>
      <c r="V1168" s="59"/>
      <c r="W1168" s="59"/>
      <c r="X1168" s="59"/>
      <c r="Y1168" s="59"/>
      <c r="Z1168" s="10"/>
      <c r="AA1168" s="74"/>
      <c r="AB1168" s="59"/>
      <c r="AC1168" s="9"/>
    </row>
    <row r="1169">
      <c r="A1169" s="9"/>
      <c r="B1169" s="19"/>
      <c r="C1169" s="9"/>
      <c r="D1169" s="9"/>
      <c r="E1169" s="59"/>
      <c r="F1169" s="9"/>
      <c r="G1169" s="9"/>
      <c r="H1169" s="59"/>
      <c r="I1169" s="59"/>
      <c r="J1169" s="59"/>
      <c r="K1169" s="59"/>
      <c r="L1169" s="59"/>
      <c r="M1169" s="59"/>
      <c r="N1169" s="21"/>
      <c r="O1169" s="59"/>
      <c r="P1169" s="59"/>
      <c r="Q1169" s="59"/>
      <c r="R1169" s="59"/>
      <c r="S1169" s="59"/>
      <c r="T1169" s="59"/>
      <c r="U1169" s="59"/>
      <c r="V1169" s="59"/>
      <c r="W1169" s="59"/>
      <c r="X1169" s="59"/>
      <c r="Y1169" s="59"/>
      <c r="Z1169" s="10"/>
      <c r="AA1169" s="74"/>
      <c r="AB1169" s="59"/>
      <c r="AC1169" s="9"/>
    </row>
    <row r="1170">
      <c r="A1170" s="9"/>
      <c r="B1170" s="19"/>
      <c r="C1170" s="9"/>
      <c r="D1170" s="9"/>
      <c r="E1170" s="59"/>
      <c r="F1170" s="9"/>
      <c r="G1170" s="9"/>
      <c r="H1170" s="59"/>
      <c r="I1170" s="59"/>
      <c r="J1170" s="59"/>
      <c r="K1170" s="59"/>
      <c r="L1170" s="59"/>
      <c r="M1170" s="59"/>
      <c r="N1170" s="21"/>
      <c r="O1170" s="59"/>
      <c r="P1170" s="59"/>
      <c r="Q1170" s="59"/>
      <c r="R1170" s="59"/>
      <c r="S1170" s="59"/>
      <c r="T1170" s="59"/>
      <c r="U1170" s="59"/>
      <c r="V1170" s="59"/>
      <c r="W1170" s="59"/>
      <c r="X1170" s="59"/>
      <c r="Y1170" s="59"/>
      <c r="Z1170" s="10"/>
      <c r="AA1170" s="74"/>
      <c r="AB1170" s="59"/>
      <c r="AC1170" s="9"/>
    </row>
    <row r="1171">
      <c r="A1171" s="9"/>
      <c r="B1171" s="19"/>
      <c r="C1171" s="9"/>
      <c r="D1171" s="9"/>
      <c r="E1171" s="59"/>
      <c r="F1171" s="9"/>
      <c r="G1171" s="9"/>
      <c r="H1171" s="59"/>
      <c r="I1171" s="59"/>
      <c r="J1171" s="59"/>
      <c r="K1171" s="59"/>
      <c r="L1171" s="59"/>
      <c r="M1171" s="59"/>
      <c r="N1171" s="21"/>
      <c r="O1171" s="59"/>
      <c r="P1171" s="59"/>
      <c r="Q1171" s="59"/>
      <c r="R1171" s="59"/>
      <c r="S1171" s="59"/>
      <c r="T1171" s="59"/>
      <c r="U1171" s="59"/>
      <c r="V1171" s="59"/>
      <c r="W1171" s="59"/>
      <c r="X1171" s="59"/>
      <c r="Y1171" s="59"/>
      <c r="Z1171" s="10"/>
      <c r="AA1171" s="74"/>
      <c r="AB1171" s="59"/>
      <c r="AC1171" s="9"/>
    </row>
    <row r="1172">
      <c r="A1172" s="9"/>
      <c r="B1172" s="19"/>
      <c r="C1172" s="9"/>
      <c r="D1172" s="9"/>
      <c r="E1172" s="59"/>
      <c r="F1172" s="9"/>
      <c r="G1172" s="9"/>
      <c r="H1172" s="59"/>
      <c r="I1172" s="59"/>
      <c r="J1172" s="59"/>
      <c r="K1172" s="59"/>
      <c r="L1172" s="59"/>
      <c r="M1172" s="59"/>
      <c r="N1172" s="21"/>
      <c r="O1172" s="59"/>
      <c r="P1172" s="59"/>
      <c r="Q1172" s="59"/>
      <c r="R1172" s="59"/>
      <c r="S1172" s="59"/>
      <c r="T1172" s="59"/>
      <c r="U1172" s="59"/>
      <c r="V1172" s="59"/>
      <c r="W1172" s="59"/>
      <c r="X1172" s="59"/>
      <c r="Y1172" s="59"/>
      <c r="Z1172" s="10"/>
      <c r="AA1172" s="74"/>
      <c r="AB1172" s="59"/>
      <c r="AC1172" s="9"/>
    </row>
    <row r="1173">
      <c r="A1173" s="9"/>
      <c r="B1173" s="19"/>
      <c r="C1173" s="9"/>
      <c r="D1173" s="9"/>
      <c r="E1173" s="59"/>
      <c r="F1173" s="9"/>
      <c r="G1173" s="9"/>
      <c r="H1173" s="59"/>
      <c r="I1173" s="59"/>
      <c r="J1173" s="59"/>
      <c r="K1173" s="59"/>
      <c r="L1173" s="59"/>
      <c r="M1173" s="59"/>
      <c r="N1173" s="21"/>
      <c r="O1173" s="59"/>
      <c r="P1173" s="59"/>
      <c r="Q1173" s="59"/>
      <c r="R1173" s="59"/>
      <c r="S1173" s="59"/>
      <c r="T1173" s="59"/>
      <c r="U1173" s="59"/>
      <c r="V1173" s="59"/>
      <c r="W1173" s="59"/>
      <c r="X1173" s="59"/>
      <c r="Y1173" s="59"/>
      <c r="Z1173" s="10"/>
      <c r="AA1173" s="74"/>
      <c r="AB1173" s="59"/>
      <c r="AC1173" s="9"/>
    </row>
    <row r="1174">
      <c r="A1174" s="9"/>
      <c r="B1174" s="19"/>
      <c r="C1174" s="9"/>
      <c r="D1174" s="9"/>
      <c r="E1174" s="59"/>
      <c r="F1174" s="9"/>
      <c r="G1174" s="9"/>
      <c r="H1174" s="59"/>
      <c r="I1174" s="59"/>
      <c r="J1174" s="59"/>
      <c r="K1174" s="59"/>
      <c r="L1174" s="59"/>
      <c r="M1174" s="59"/>
      <c r="N1174" s="21"/>
      <c r="O1174" s="59"/>
      <c r="P1174" s="59"/>
      <c r="Q1174" s="59"/>
      <c r="R1174" s="59"/>
      <c r="S1174" s="59"/>
      <c r="T1174" s="59"/>
      <c r="U1174" s="59"/>
      <c r="V1174" s="59"/>
      <c r="W1174" s="59"/>
      <c r="X1174" s="59"/>
      <c r="Y1174" s="59"/>
      <c r="Z1174" s="10"/>
      <c r="AA1174" s="74"/>
      <c r="AB1174" s="59"/>
      <c r="AC1174" s="9"/>
    </row>
    <row r="1175">
      <c r="A1175" s="9"/>
      <c r="B1175" s="19"/>
      <c r="C1175" s="9"/>
      <c r="D1175" s="9"/>
      <c r="E1175" s="59"/>
      <c r="F1175" s="9"/>
      <c r="G1175" s="9"/>
      <c r="H1175" s="59"/>
      <c r="I1175" s="59"/>
      <c r="J1175" s="59"/>
      <c r="K1175" s="59"/>
      <c r="L1175" s="59"/>
      <c r="M1175" s="59"/>
      <c r="N1175" s="21"/>
      <c r="O1175" s="59"/>
      <c r="P1175" s="59"/>
      <c r="Q1175" s="59"/>
      <c r="R1175" s="59"/>
      <c r="S1175" s="59"/>
      <c r="T1175" s="59"/>
      <c r="U1175" s="59"/>
      <c r="V1175" s="59"/>
      <c r="W1175" s="59"/>
      <c r="X1175" s="59"/>
      <c r="Y1175" s="59"/>
      <c r="Z1175" s="10"/>
      <c r="AA1175" s="74"/>
      <c r="AB1175" s="59"/>
      <c r="AC1175" s="9"/>
    </row>
    <row r="1176">
      <c r="A1176" s="9"/>
      <c r="B1176" s="19"/>
      <c r="C1176" s="9"/>
      <c r="D1176" s="9"/>
      <c r="E1176" s="59"/>
      <c r="F1176" s="9"/>
      <c r="G1176" s="9"/>
      <c r="H1176" s="59"/>
      <c r="I1176" s="59"/>
      <c r="J1176" s="59"/>
      <c r="K1176" s="59"/>
      <c r="L1176" s="59"/>
      <c r="M1176" s="59"/>
      <c r="N1176" s="21"/>
      <c r="O1176" s="59"/>
      <c r="P1176" s="59"/>
      <c r="Q1176" s="59"/>
      <c r="R1176" s="59"/>
      <c r="S1176" s="59"/>
      <c r="T1176" s="59"/>
      <c r="U1176" s="59"/>
      <c r="V1176" s="59"/>
      <c r="W1176" s="59"/>
      <c r="X1176" s="59"/>
      <c r="Y1176" s="59"/>
      <c r="Z1176" s="10"/>
      <c r="AA1176" s="74"/>
      <c r="AB1176" s="59"/>
      <c r="AC1176" s="9"/>
    </row>
    <row r="1177">
      <c r="A1177" s="9"/>
      <c r="B1177" s="19"/>
      <c r="C1177" s="9"/>
      <c r="D1177" s="9"/>
      <c r="E1177" s="59"/>
      <c r="F1177" s="9"/>
      <c r="G1177" s="9"/>
      <c r="H1177" s="59"/>
      <c r="I1177" s="59"/>
      <c r="J1177" s="59"/>
      <c r="K1177" s="59"/>
      <c r="L1177" s="59"/>
      <c r="M1177" s="59"/>
      <c r="N1177" s="21"/>
      <c r="O1177" s="59"/>
      <c r="P1177" s="59"/>
      <c r="Q1177" s="59"/>
      <c r="R1177" s="59"/>
      <c r="S1177" s="59"/>
      <c r="T1177" s="59"/>
      <c r="U1177" s="59"/>
      <c r="V1177" s="59"/>
      <c r="W1177" s="59"/>
      <c r="X1177" s="59"/>
      <c r="Y1177" s="59"/>
      <c r="Z1177" s="10"/>
      <c r="AA1177" s="74"/>
      <c r="AB1177" s="59"/>
      <c r="AC1177" s="9"/>
    </row>
    <row r="1178">
      <c r="A1178" s="9"/>
      <c r="B1178" s="19"/>
      <c r="C1178" s="9"/>
      <c r="D1178" s="9"/>
      <c r="E1178" s="59"/>
      <c r="F1178" s="9"/>
      <c r="G1178" s="9"/>
      <c r="H1178" s="59"/>
      <c r="I1178" s="59"/>
      <c r="J1178" s="59"/>
      <c r="K1178" s="59"/>
      <c r="L1178" s="59"/>
      <c r="M1178" s="59"/>
      <c r="N1178" s="21"/>
      <c r="O1178" s="59"/>
      <c r="P1178" s="59"/>
      <c r="Q1178" s="59"/>
      <c r="R1178" s="59"/>
      <c r="S1178" s="59"/>
      <c r="T1178" s="59"/>
      <c r="U1178" s="59"/>
      <c r="V1178" s="59"/>
      <c r="W1178" s="59"/>
      <c r="X1178" s="59"/>
      <c r="Y1178" s="59"/>
      <c r="Z1178" s="10"/>
      <c r="AA1178" s="74"/>
      <c r="AB1178" s="59"/>
      <c r="AC1178" s="9"/>
    </row>
    <row r="1179">
      <c r="A1179" s="9"/>
      <c r="B1179" s="19"/>
      <c r="C1179" s="9"/>
      <c r="D1179" s="9"/>
      <c r="E1179" s="59"/>
      <c r="F1179" s="9"/>
      <c r="G1179" s="9"/>
      <c r="H1179" s="59"/>
      <c r="I1179" s="59"/>
      <c r="J1179" s="59"/>
      <c r="K1179" s="59"/>
      <c r="L1179" s="59"/>
      <c r="M1179" s="59"/>
      <c r="N1179" s="21"/>
      <c r="O1179" s="59"/>
      <c r="P1179" s="59"/>
      <c r="Q1179" s="59"/>
      <c r="R1179" s="59"/>
      <c r="S1179" s="59"/>
      <c r="T1179" s="59"/>
      <c r="U1179" s="59"/>
      <c r="V1179" s="59"/>
      <c r="W1179" s="59"/>
      <c r="X1179" s="59"/>
      <c r="Y1179" s="59"/>
      <c r="Z1179" s="10"/>
      <c r="AA1179" s="74"/>
      <c r="AB1179" s="59"/>
      <c r="AC1179" s="9"/>
    </row>
    <row r="1180">
      <c r="A1180" s="9"/>
      <c r="B1180" s="19"/>
      <c r="C1180" s="9"/>
      <c r="D1180" s="9"/>
      <c r="E1180" s="59"/>
      <c r="F1180" s="9"/>
      <c r="G1180" s="9"/>
      <c r="H1180" s="59"/>
      <c r="I1180" s="59"/>
      <c r="J1180" s="59"/>
      <c r="K1180" s="59"/>
      <c r="L1180" s="59"/>
      <c r="M1180" s="59"/>
      <c r="N1180" s="21"/>
      <c r="O1180" s="59"/>
      <c r="P1180" s="59"/>
      <c r="Q1180" s="59"/>
      <c r="R1180" s="59"/>
      <c r="S1180" s="59"/>
      <c r="T1180" s="59"/>
      <c r="U1180" s="59"/>
      <c r="V1180" s="59"/>
      <c r="W1180" s="59"/>
      <c r="X1180" s="59"/>
      <c r="Y1180" s="59"/>
      <c r="Z1180" s="10"/>
      <c r="AA1180" s="74"/>
      <c r="AB1180" s="59"/>
      <c r="AC1180" s="9"/>
    </row>
    <row r="1181">
      <c r="A1181" s="9"/>
      <c r="B1181" s="19"/>
      <c r="C1181" s="9"/>
      <c r="D1181" s="9"/>
      <c r="E1181" s="59"/>
      <c r="F1181" s="9"/>
      <c r="G1181" s="9"/>
      <c r="H1181" s="59"/>
      <c r="I1181" s="59"/>
      <c r="J1181" s="59"/>
      <c r="K1181" s="59"/>
      <c r="L1181" s="59"/>
      <c r="M1181" s="59"/>
      <c r="N1181" s="21"/>
      <c r="O1181" s="59"/>
      <c r="P1181" s="59"/>
      <c r="Q1181" s="59"/>
      <c r="R1181" s="59"/>
      <c r="S1181" s="59"/>
      <c r="T1181" s="59"/>
      <c r="U1181" s="59"/>
      <c r="V1181" s="59"/>
      <c r="W1181" s="59"/>
      <c r="X1181" s="59"/>
      <c r="Y1181" s="59"/>
      <c r="Z1181" s="10"/>
      <c r="AA1181" s="74"/>
      <c r="AB1181" s="59"/>
      <c r="AC1181" s="9"/>
    </row>
    <row r="1182">
      <c r="A1182" s="9"/>
      <c r="B1182" s="19"/>
      <c r="C1182" s="9"/>
      <c r="D1182" s="9"/>
      <c r="E1182" s="59"/>
      <c r="F1182" s="9"/>
      <c r="G1182" s="9"/>
      <c r="H1182" s="59"/>
      <c r="I1182" s="59"/>
      <c r="J1182" s="59"/>
      <c r="K1182" s="59"/>
      <c r="L1182" s="59"/>
      <c r="M1182" s="59"/>
      <c r="N1182" s="21"/>
      <c r="O1182" s="59"/>
      <c r="P1182" s="59"/>
      <c r="Q1182" s="59"/>
      <c r="R1182" s="59"/>
      <c r="S1182" s="59"/>
      <c r="T1182" s="59"/>
      <c r="U1182" s="59"/>
      <c r="V1182" s="59"/>
      <c r="W1182" s="59"/>
      <c r="X1182" s="59"/>
      <c r="Y1182" s="59"/>
      <c r="Z1182" s="10"/>
      <c r="AA1182" s="74"/>
      <c r="AB1182" s="59"/>
      <c r="AC1182" s="9"/>
    </row>
    <row r="1183">
      <c r="A1183" s="9"/>
      <c r="B1183" s="19"/>
      <c r="C1183" s="9"/>
      <c r="D1183" s="9"/>
      <c r="E1183" s="59"/>
      <c r="F1183" s="9"/>
      <c r="G1183" s="9"/>
      <c r="H1183" s="59"/>
      <c r="I1183" s="59"/>
      <c r="J1183" s="59"/>
      <c r="K1183" s="59"/>
      <c r="L1183" s="59"/>
      <c r="M1183" s="59"/>
      <c r="N1183" s="21"/>
      <c r="O1183" s="59"/>
      <c r="P1183" s="59"/>
      <c r="Q1183" s="59"/>
      <c r="R1183" s="59"/>
      <c r="S1183" s="59"/>
      <c r="T1183" s="59"/>
      <c r="U1183" s="59"/>
      <c r="V1183" s="59"/>
      <c r="W1183" s="59"/>
      <c r="X1183" s="59"/>
      <c r="Y1183" s="59"/>
      <c r="Z1183" s="10"/>
      <c r="AA1183" s="74"/>
      <c r="AB1183" s="59"/>
      <c r="AC1183" s="9"/>
    </row>
    <row r="1184">
      <c r="A1184" s="9"/>
      <c r="B1184" s="19"/>
      <c r="C1184" s="9"/>
      <c r="D1184" s="9"/>
      <c r="E1184" s="59"/>
      <c r="F1184" s="9"/>
      <c r="G1184" s="9"/>
      <c r="H1184" s="59"/>
      <c r="I1184" s="59"/>
      <c r="J1184" s="59"/>
      <c r="K1184" s="59"/>
      <c r="L1184" s="59"/>
      <c r="M1184" s="59"/>
      <c r="N1184" s="21"/>
      <c r="O1184" s="59"/>
      <c r="P1184" s="59"/>
      <c r="Q1184" s="59"/>
      <c r="R1184" s="59"/>
      <c r="S1184" s="59"/>
      <c r="T1184" s="59"/>
      <c r="U1184" s="59"/>
      <c r="V1184" s="59"/>
      <c r="W1184" s="59"/>
      <c r="X1184" s="59"/>
      <c r="Y1184" s="59"/>
      <c r="Z1184" s="10"/>
      <c r="AA1184" s="74"/>
      <c r="AB1184" s="59"/>
      <c r="AC1184" s="9"/>
    </row>
    <row r="1185">
      <c r="A1185" s="9"/>
      <c r="B1185" s="19"/>
      <c r="C1185" s="9"/>
      <c r="D1185" s="9"/>
      <c r="E1185" s="59"/>
      <c r="F1185" s="9"/>
      <c r="G1185" s="9"/>
      <c r="H1185" s="59"/>
      <c r="I1185" s="59"/>
      <c r="J1185" s="59"/>
      <c r="K1185" s="59"/>
      <c r="L1185" s="59"/>
      <c r="M1185" s="59"/>
      <c r="N1185" s="21"/>
      <c r="O1185" s="59"/>
      <c r="P1185" s="59"/>
      <c r="Q1185" s="59"/>
      <c r="R1185" s="59"/>
      <c r="S1185" s="59"/>
      <c r="T1185" s="59"/>
      <c r="U1185" s="59"/>
      <c r="V1185" s="59"/>
      <c r="W1185" s="59"/>
      <c r="X1185" s="59"/>
      <c r="Y1185" s="59"/>
      <c r="Z1185" s="10"/>
      <c r="AA1185" s="74"/>
      <c r="AB1185" s="59"/>
      <c r="AC1185" s="9"/>
    </row>
    <row r="1186">
      <c r="A1186" s="9"/>
      <c r="B1186" s="19"/>
      <c r="C1186" s="9"/>
      <c r="D1186" s="9"/>
      <c r="E1186" s="59"/>
      <c r="F1186" s="9"/>
      <c r="G1186" s="9"/>
      <c r="H1186" s="59"/>
      <c r="I1186" s="59"/>
      <c r="J1186" s="59"/>
      <c r="K1186" s="59"/>
      <c r="L1186" s="59"/>
      <c r="M1186" s="59"/>
      <c r="N1186" s="21"/>
      <c r="O1186" s="59"/>
      <c r="P1186" s="59"/>
      <c r="Q1186" s="59"/>
      <c r="R1186" s="59"/>
      <c r="S1186" s="59"/>
      <c r="T1186" s="59"/>
      <c r="U1186" s="59"/>
      <c r="V1186" s="59"/>
      <c r="W1186" s="59"/>
      <c r="X1186" s="59"/>
      <c r="Y1186" s="59"/>
      <c r="Z1186" s="10"/>
      <c r="AA1186" s="74"/>
      <c r="AB1186" s="59"/>
      <c r="AC1186" s="9"/>
    </row>
    <row r="1187">
      <c r="A1187" s="9"/>
      <c r="B1187" s="19"/>
      <c r="C1187" s="9"/>
      <c r="D1187" s="9"/>
      <c r="E1187" s="59"/>
      <c r="F1187" s="9"/>
      <c r="G1187" s="9"/>
      <c r="H1187" s="59"/>
      <c r="I1187" s="59"/>
      <c r="J1187" s="59"/>
      <c r="K1187" s="59"/>
      <c r="L1187" s="59"/>
      <c r="M1187" s="59"/>
      <c r="N1187" s="21"/>
      <c r="O1187" s="59"/>
      <c r="P1187" s="59"/>
      <c r="Q1187" s="59"/>
      <c r="R1187" s="59"/>
      <c r="S1187" s="59"/>
      <c r="T1187" s="59"/>
      <c r="U1187" s="59"/>
      <c r="V1187" s="59"/>
      <c r="W1187" s="59"/>
      <c r="X1187" s="59"/>
      <c r="Y1187" s="59"/>
      <c r="Z1187" s="10"/>
      <c r="AA1187" s="74"/>
      <c r="AB1187" s="59"/>
      <c r="AC1187" s="9"/>
    </row>
    <row r="1188">
      <c r="A1188" s="9"/>
      <c r="B1188" s="19"/>
      <c r="C1188" s="9"/>
      <c r="D1188" s="9"/>
      <c r="E1188" s="59"/>
      <c r="F1188" s="9"/>
      <c r="G1188" s="9"/>
      <c r="H1188" s="59"/>
      <c r="I1188" s="59"/>
      <c r="J1188" s="59"/>
      <c r="K1188" s="59"/>
      <c r="L1188" s="59"/>
      <c r="M1188" s="59"/>
      <c r="N1188" s="21"/>
      <c r="O1188" s="59"/>
      <c r="P1188" s="59"/>
      <c r="Q1188" s="59"/>
      <c r="R1188" s="59"/>
      <c r="S1188" s="59"/>
      <c r="T1188" s="59"/>
      <c r="U1188" s="59"/>
      <c r="V1188" s="59"/>
      <c r="W1188" s="59"/>
      <c r="X1188" s="59"/>
      <c r="Y1188" s="59"/>
      <c r="Z1188" s="10"/>
      <c r="AA1188" s="74"/>
      <c r="AB1188" s="59"/>
      <c r="AC1188" s="9"/>
    </row>
    <row r="1189">
      <c r="A1189" s="9"/>
      <c r="B1189" s="19"/>
      <c r="C1189" s="9"/>
      <c r="D1189" s="9"/>
      <c r="E1189" s="59"/>
      <c r="F1189" s="9"/>
      <c r="G1189" s="9"/>
      <c r="H1189" s="59"/>
      <c r="I1189" s="59"/>
      <c r="J1189" s="59"/>
      <c r="K1189" s="59"/>
      <c r="L1189" s="59"/>
      <c r="M1189" s="59"/>
      <c r="N1189" s="21"/>
      <c r="O1189" s="59"/>
      <c r="P1189" s="59"/>
      <c r="Q1189" s="59"/>
      <c r="R1189" s="59"/>
      <c r="S1189" s="59"/>
      <c r="T1189" s="59"/>
      <c r="U1189" s="59"/>
      <c r="V1189" s="59"/>
      <c r="W1189" s="59"/>
      <c r="X1189" s="59"/>
      <c r="Y1189" s="59"/>
      <c r="Z1189" s="10"/>
      <c r="AA1189" s="74"/>
      <c r="AB1189" s="59"/>
      <c r="AC1189" s="9"/>
    </row>
    <row r="1190">
      <c r="A1190" s="9"/>
      <c r="B1190" s="19"/>
      <c r="C1190" s="9"/>
      <c r="D1190" s="9"/>
      <c r="E1190" s="59"/>
      <c r="F1190" s="9"/>
      <c r="G1190" s="9"/>
      <c r="H1190" s="59"/>
      <c r="I1190" s="59"/>
      <c r="J1190" s="59"/>
      <c r="K1190" s="59"/>
      <c r="L1190" s="59"/>
      <c r="M1190" s="59"/>
      <c r="N1190" s="21"/>
      <c r="O1190" s="59"/>
      <c r="P1190" s="59"/>
      <c r="Q1190" s="59"/>
      <c r="R1190" s="59"/>
      <c r="S1190" s="59"/>
      <c r="T1190" s="59"/>
      <c r="U1190" s="59"/>
      <c r="V1190" s="59"/>
      <c r="W1190" s="59"/>
      <c r="X1190" s="59"/>
      <c r="Y1190" s="59"/>
      <c r="Z1190" s="10"/>
      <c r="AA1190" s="74"/>
      <c r="AB1190" s="59"/>
      <c r="AC1190" s="9"/>
    </row>
    <row r="1191">
      <c r="A1191" s="9"/>
      <c r="B1191" s="19"/>
      <c r="C1191" s="9"/>
      <c r="D1191" s="9"/>
      <c r="E1191" s="59"/>
      <c r="F1191" s="9"/>
      <c r="G1191" s="9"/>
      <c r="H1191" s="59"/>
      <c r="I1191" s="59"/>
      <c r="J1191" s="59"/>
      <c r="K1191" s="59"/>
      <c r="L1191" s="59"/>
      <c r="M1191" s="59"/>
      <c r="N1191" s="21"/>
      <c r="O1191" s="59"/>
      <c r="P1191" s="59"/>
      <c r="Q1191" s="59"/>
      <c r="R1191" s="59"/>
      <c r="S1191" s="59"/>
      <c r="T1191" s="59"/>
      <c r="U1191" s="59"/>
      <c r="V1191" s="59"/>
      <c r="W1191" s="59"/>
      <c r="X1191" s="59"/>
      <c r="Y1191" s="59"/>
      <c r="Z1191" s="10"/>
      <c r="AA1191" s="74"/>
      <c r="AB1191" s="59"/>
      <c r="AC1191" s="9"/>
    </row>
    <row r="1192">
      <c r="A1192" s="9"/>
      <c r="B1192" s="19"/>
      <c r="C1192" s="9"/>
      <c r="D1192" s="9"/>
      <c r="E1192" s="59"/>
      <c r="F1192" s="9"/>
      <c r="G1192" s="9"/>
      <c r="H1192" s="59"/>
      <c r="I1192" s="59"/>
      <c r="J1192" s="59"/>
      <c r="K1192" s="59"/>
      <c r="L1192" s="59"/>
      <c r="M1192" s="59"/>
      <c r="N1192" s="21"/>
      <c r="O1192" s="59"/>
      <c r="P1192" s="59"/>
      <c r="Q1192" s="59"/>
      <c r="R1192" s="59"/>
      <c r="S1192" s="59"/>
      <c r="T1192" s="59"/>
      <c r="U1192" s="59"/>
      <c r="V1192" s="59"/>
      <c r="W1192" s="59"/>
      <c r="X1192" s="59"/>
      <c r="Y1192" s="59"/>
      <c r="Z1192" s="10"/>
      <c r="AA1192" s="74"/>
      <c r="AB1192" s="59"/>
      <c r="AC1192" s="9"/>
    </row>
    <row r="1193">
      <c r="A1193" s="9"/>
      <c r="B1193" s="19"/>
      <c r="C1193" s="9"/>
      <c r="D1193" s="9"/>
      <c r="E1193" s="59"/>
      <c r="F1193" s="9"/>
      <c r="G1193" s="9"/>
      <c r="H1193" s="59"/>
      <c r="I1193" s="59"/>
      <c r="J1193" s="59"/>
      <c r="K1193" s="59"/>
      <c r="L1193" s="59"/>
      <c r="M1193" s="59"/>
      <c r="N1193" s="21"/>
      <c r="O1193" s="59"/>
      <c r="P1193" s="59"/>
      <c r="Q1193" s="59"/>
      <c r="R1193" s="59"/>
      <c r="S1193" s="59"/>
      <c r="T1193" s="59"/>
      <c r="U1193" s="59"/>
      <c r="V1193" s="59"/>
      <c r="W1193" s="59"/>
      <c r="X1193" s="59"/>
      <c r="Y1193" s="59"/>
      <c r="Z1193" s="10"/>
      <c r="AA1193" s="74"/>
      <c r="AB1193" s="59"/>
      <c r="AC1193" s="9"/>
    </row>
    <row r="1194">
      <c r="A1194" s="9"/>
      <c r="B1194" s="19"/>
      <c r="C1194" s="9"/>
      <c r="D1194" s="9"/>
      <c r="E1194" s="59"/>
      <c r="F1194" s="9"/>
      <c r="G1194" s="9"/>
      <c r="H1194" s="59"/>
      <c r="I1194" s="59"/>
      <c r="J1194" s="59"/>
      <c r="K1194" s="59"/>
      <c r="L1194" s="59"/>
      <c r="M1194" s="59"/>
      <c r="N1194" s="21"/>
      <c r="O1194" s="59"/>
      <c r="P1194" s="59"/>
      <c r="Q1194" s="59"/>
      <c r="R1194" s="59"/>
      <c r="S1194" s="59"/>
      <c r="T1194" s="59"/>
      <c r="U1194" s="59"/>
      <c r="V1194" s="59"/>
      <c r="W1194" s="59"/>
      <c r="X1194" s="59"/>
      <c r="Y1194" s="59"/>
      <c r="Z1194" s="10"/>
      <c r="AA1194" s="74"/>
      <c r="AB1194" s="59"/>
      <c r="AC1194" s="9"/>
    </row>
    <row r="1195">
      <c r="A1195" s="9"/>
      <c r="B1195" s="19"/>
      <c r="C1195" s="9"/>
      <c r="D1195" s="9"/>
      <c r="E1195" s="59"/>
      <c r="F1195" s="9"/>
      <c r="G1195" s="9"/>
      <c r="H1195" s="59"/>
      <c r="I1195" s="59"/>
      <c r="J1195" s="59"/>
      <c r="K1195" s="59"/>
      <c r="L1195" s="59"/>
      <c r="M1195" s="59"/>
      <c r="N1195" s="21"/>
      <c r="O1195" s="59"/>
      <c r="P1195" s="59"/>
      <c r="Q1195" s="59"/>
      <c r="R1195" s="59"/>
      <c r="S1195" s="59"/>
      <c r="T1195" s="59"/>
      <c r="U1195" s="59"/>
      <c r="V1195" s="59"/>
      <c r="W1195" s="59"/>
      <c r="X1195" s="59"/>
      <c r="Y1195" s="59"/>
      <c r="Z1195" s="10"/>
      <c r="AA1195" s="74"/>
      <c r="AB1195" s="59"/>
      <c r="AC1195" s="9"/>
    </row>
    <row r="1196">
      <c r="A1196" s="9"/>
      <c r="B1196" s="19"/>
      <c r="C1196" s="9"/>
      <c r="D1196" s="9"/>
      <c r="E1196" s="59"/>
      <c r="F1196" s="9"/>
      <c r="G1196" s="9"/>
      <c r="H1196" s="59"/>
      <c r="I1196" s="59"/>
      <c r="J1196" s="59"/>
      <c r="K1196" s="59"/>
      <c r="L1196" s="59"/>
      <c r="M1196" s="59"/>
      <c r="N1196" s="21"/>
      <c r="O1196" s="59"/>
      <c r="P1196" s="59"/>
      <c r="Q1196" s="59"/>
      <c r="R1196" s="59"/>
      <c r="S1196" s="59"/>
      <c r="T1196" s="59"/>
      <c r="U1196" s="59"/>
      <c r="V1196" s="59"/>
      <c r="W1196" s="59"/>
      <c r="X1196" s="59"/>
      <c r="Y1196" s="59"/>
      <c r="Z1196" s="10"/>
      <c r="AA1196" s="74"/>
      <c r="AB1196" s="59"/>
      <c r="AC1196" s="9"/>
    </row>
    <row r="1197">
      <c r="A1197" s="9"/>
      <c r="B1197" s="19"/>
      <c r="C1197" s="9"/>
      <c r="D1197" s="9"/>
      <c r="E1197" s="59"/>
      <c r="F1197" s="9"/>
      <c r="G1197" s="9"/>
      <c r="H1197" s="59"/>
      <c r="I1197" s="59"/>
      <c r="J1197" s="59"/>
      <c r="K1197" s="59"/>
      <c r="L1197" s="59"/>
      <c r="M1197" s="59"/>
      <c r="N1197" s="21"/>
      <c r="O1197" s="59"/>
      <c r="P1197" s="59"/>
      <c r="Q1197" s="59"/>
      <c r="R1197" s="59"/>
      <c r="S1197" s="59"/>
      <c r="T1197" s="59"/>
      <c r="U1197" s="59"/>
      <c r="V1197" s="59"/>
      <c r="W1197" s="59"/>
      <c r="X1197" s="59"/>
      <c r="Y1197" s="59"/>
      <c r="Z1197" s="10"/>
      <c r="AA1197" s="74"/>
      <c r="AB1197" s="59"/>
      <c r="AC1197" s="9"/>
    </row>
    <row r="1198">
      <c r="A1198" s="9"/>
      <c r="B1198" s="19"/>
      <c r="C1198" s="9"/>
      <c r="D1198" s="9"/>
      <c r="E1198" s="59"/>
      <c r="F1198" s="9"/>
      <c r="G1198" s="9"/>
      <c r="H1198" s="59"/>
      <c r="I1198" s="59"/>
      <c r="J1198" s="59"/>
      <c r="K1198" s="59"/>
      <c r="L1198" s="59"/>
      <c r="M1198" s="59"/>
      <c r="N1198" s="21"/>
      <c r="O1198" s="59"/>
      <c r="P1198" s="59"/>
      <c r="Q1198" s="59"/>
      <c r="R1198" s="59"/>
      <c r="S1198" s="59"/>
      <c r="T1198" s="59"/>
      <c r="U1198" s="59"/>
      <c r="V1198" s="59"/>
      <c r="W1198" s="59"/>
      <c r="X1198" s="59"/>
      <c r="Y1198" s="59"/>
      <c r="Z1198" s="10"/>
      <c r="AA1198" s="74"/>
      <c r="AB1198" s="59"/>
      <c r="AC1198" s="9"/>
    </row>
    <row r="1199">
      <c r="A1199" s="9"/>
      <c r="B1199" s="19"/>
      <c r="C1199" s="9"/>
      <c r="D1199" s="9"/>
      <c r="E1199" s="59"/>
      <c r="F1199" s="9"/>
      <c r="G1199" s="9"/>
      <c r="H1199" s="59"/>
      <c r="I1199" s="59"/>
      <c r="J1199" s="59"/>
      <c r="K1199" s="59"/>
      <c r="L1199" s="59"/>
      <c r="M1199" s="59"/>
      <c r="N1199" s="21"/>
      <c r="O1199" s="59"/>
      <c r="P1199" s="59"/>
      <c r="Q1199" s="59"/>
      <c r="R1199" s="59"/>
      <c r="S1199" s="59"/>
      <c r="T1199" s="59"/>
      <c r="U1199" s="59"/>
      <c r="V1199" s="59"/>
      <c r="W1199" s="59"/>
      <c r="X1199" s="59"/>
      <c r="Y1199" s="59"/>
      <c r="Z1199" s="10"/>
      <c r="AA1199" s="74"/>
      <c r="AB1199" s="59"/>
      <c r="AC1199" s="9"/>
    </row>
    <row r="1200">
      <c r="A1200" s="9"/>
      <c r="B1200" s="19"/>
      <c r="C1200" s="9"/>
      <c r="D1200" s="9"/>
      <c r="E1200" s="59"/>
      <c r="F1200" s="9"/>
      <c r="G1200" s="9"/>
      <c r="H1200" s="59"/>
      <c r="I1200" s="59"/>
      <c r="J1200" s="59"/>
      <c r="K1200" s="59"/>
      <c r="L1200" s="59"/>
      <c r="M1200" s="59"/>
      <c r="N1200" s="21"/>
      <c r="O1200" s="59"/>
      <c r="P1200" s="59"/>
      <c r="Q1200" s="59"/>
      <c r="R1200" s="59"/>
      <c r="S1200" s="59"/>
      <c r="T1200" s="59"/>
      <c r="U1200" s="59"/>
      <c r="V1200" s="59"/>
      <c r="W1200" s="59"/>
      <c r="X1200" s="59"/>
      <c r="Y1200" s="59"/>
      <c r="Z1200" s="10"/>
      <c r="AA1200" s="74"/>
      <c r="AB1200" s="59"/>
      <c r="AC1200" s="9"/>
    </row>
    <row r="1201">
      <c r="A1201" s="9"/>
      <c r="B1201" s="19"/>
      <c r="C1201" s="9"/>
      <c r="D1201" s="9"/>
      <c r="E1201" s="59"/>
      <c r="F1201" s="9"/>
      <c r="G1201" s="9"/>
      <c r="H1201" s="59"/>
      <c r="I1201" s="59"/>
      <c r="J1201" s="59"/>
      <c r="K1201" s="59"/>
      <c r="L1201" s="59"/>
      <c r="M1201" s="59"/>
      <c r="N1201" s="21"/>
      <c r="O1201" s="59"/>
      <c r="P1201" s="59"/>
      <c r="Q1201" s="59"/>
      <c r="R1201" s="59"/>
      <c r="S1201" s="59"/>
      <c r="T1201" s="59"/>
      <c r="U1201" s="59"/>
      <c r="V1201" s="59"/>
      <c r="W1201" s="59"/>
      <c r="X1201" s="59"/>
      <c r="Y1201" s="59"/>
      <c r="Z1201" s="10"/>
      <c r="AA1201" s="74"/>
      <c r="AB1201" s="59"/>
      <c r="AC1201" s="9"/>
    </row>
    <row r="1202">
      <c r="A1202" s="9"/>
      <c r="B1202" s="19"/>
      <c r="C1202" s="9"/>
      <c r="D1202" s="9"/>
      <c r="E1202" s="59"/>
      <c r="F1202" s="9"/>
      <c r="G1202" s="9"/>
      <c r="H1202" s="59"/>
      <c r="I1202" s="59"/>
      <c r="J1202" s="59"/>
      <c r="K1202" s="59"/>
      <c r="L1202" s="59"/>
      <c r="M1202" s="59"/>
      <c r="N1202" s="21"/>
      <c r="O1202" s="59"/>
      <c r="P1202" s="59"/>
      <c r="Q1202" s="59"/>
      <c r="R1202" s="59"/>
      <c r="S1202" s="59"/>
      <c r="T1202" s="59"/>
      <c r="U1202" s="59"/>
      <c r="V1202" s="59"/>
      <c r="W1202" s="59"/>
      <c r="X1202" s="59"/>
      <c r="Y1202" s="59"/>
      <c r="Z1202" s="10"/>
      <c r="AA1202" s="74"/>
      <c r="AB1202" s="59"/>
      <c r="AC1202" s="9"/>
    </row>
    <row r="1203">
      <c r="A1203" s="9"/>
      <c r="B1203" s="19"/>
      <c r="C1203" s="9"/>
      <c r="D1203" s="9"/>
      <c r="E1203" s="59"/>
      <c r="F1203" s="9"/>
      <c r="G1203" s="9"/>
      <c r="H1203" s="59"/>
      <c r="I1203" s="59"/>
      <c r="J1203" s="59"/>
      <c r="K1203" s="59"/>
      <c r="L1203" s="59"/>
      <c r="M1203" s="59"/>
      <c r="N1203" s="21"/>
      <c r="O1203" s="59"/>
      <c r="P1203" s="59"/>
      <c r="Q1203" s="59"/>
      <c r="R1203" s="59"/>
      <c r="S1203" s="59"/>
      <c r="T1203" s="59"/>
      <c r="U1203" s="59"/>
      <c r="V1203" s="59"/>
      <c r="W1203" s="59"/>
      <c r="X1203" s="59"/>
      <c r="Y1203" s="59"/>
      <c r="Z1203" s="10"/>
      <c r="AA1203" s="74"/>
      <c r="AB1203" s="59"/>
      <c r="AC1203" s="9"/>
    </row>
    <row r="1204">
      <c r="A1204" s="9"/>
      <c r="B1204" s="19"/>
      <c r="C1204" s="9"/>
      <c r="D1204" s="9"/>
      <c r="E1204" s="59"/>
      <c r="F1204" s="9"/>
      <c r="G1204" s="9"/>
      <c r="H1204" s="59"/>
      <c r="I1204" s="59"/>
      <c r="J1204" s="59"/>
      <c r="K1204" s="59"/>
      <c r="L1204" s="59"/>
      <c r="M1204" s="59"/>
      <c r="N1204" s="21"/>
      <c r="O1204" s="59"/>
      <c r="P1204" s="59"/>
      <c r="Q1204" s="59"/>
      <c r="R1204" s="59"/>
      <c r="S1204" s="59"/>
      <c r="T1204" s="59"/>
      <c r="U1204" s="59"/>
      <c r="V1204" s="59"/>
      <c r="W1204" s="59"/>
      <c r="X1204" s="59"/>
      <c r="Y1204" s="59"/>
      <c r="Z1204" s="10"/>
      <c r="AA1204" s="74"/>
      <c r="AB1204" s="59"/>
      <c r="AC1204" s="9"/>
    </row>
    <row r="1205">
      <c r="A1205" s="9"/>
      <c r="B1205" s="19"/>
      <c r="C1205" s="9"/>
      <c r="D1205" s="9"/>
      <c r="E1205" s="59"/>
      <c r="F1205" s="9"/>
      <c r="G1205" s="9"/>
      <c r="H1205" s="59"/>
      <c r="I1205" s="59"/>
      <c r="J1205" s="59"/>
      <c r="K1205" s="59"/>
      <c r="L1205" s="59"/>
      <c r="M1205" s="59"/>
      <c r="N1205" s="21"/>
      <c r="O1205" s="59"/>
      <c r="P1205" s="59"/>
      <c r="Q1205" s="59"/>
      <c r="R1205" s="59"/>
      <c r="S1205" s="59"/>
      <c r="T1205" s="59"/>
      <c r="U1205" s="59"/>
      <c r="V1205" s="59"/>
      <c r="W1205" s="59"/>
      <c r="X1205" s="59"/>
      <c r="Y1205" s="59"/>
      <c r="Z1205" s="10"/>
      <c r="AA1205" s="74"/>
      <c r="AB1205" s="59"/>
      <c r="AC1205" s="9"/>
    </row>
    <row r="1206">
      <c r="A1206" s="9"/>
      <c r="B1206" s="19"/>
      <c r="C1206" s="9"/>
      <c r="D1206" s="9"/>
      <c r="E1206" s="59"/>
      <c r="F1206" s="9"/>
      <c r="G1206" s="9"/>
      <c r="H1206" s="59"/>
      <c r="I1206" s="59"/>
      <c r="J1206" s="59"/>
      <c r="K1206" s="59"/>
      <c r="L1206" s="59"/>
      <c r="M1206" s="59"/>
      <c r="N1206" s="21"/>
      <c r="O1206" s="59"/>
      <c r="P1206" s="59"/>
      <c r="Q1206" s="59"/>
      <c r="R1206" s="59"/>
      <c r="S1206" s="59"/>
      <c r="T1206" s="59"/>
      <c r="U1206" s="59"/>
      <c r="V1206" s="59"/>
      <c r="W1206" s="59"/>
      <c r="X1206" s="59"/>
      <c r="Y1206" s="59"/>
      <c r="Z1206" s="10"/>
      <c r="AA1206" s="74"/>
      <c r="AB1206" s="59"/>
      <c r="AC1206" s="9"/>
    </row>
    <row r="1207">
      <c r="A1207" s="9"/>
      <c r="B1207" s="19"/>
      <c r="C1207" s="9"/>
      <c r="D1207" s="9"/>
      <c r="E1207" s="59"/>
      <c r="F1207" s="9"/>
      <c r="G1207" s="9"/>
      <c r="H1207" s="59"/>
      <c r="I1207" s="59"/>
      <c r="J1207" s="59"/>
      <c r="K1207" s="59"/>
      <c r="L1207" s="59"/>
      <c r="M1207" s="59"/>
      <c r="N1207" s="21"/>
      <c r="O1207" s="59"/>
      <c r="P1207" s="59"/>
      <c r="Q1207" s="59"/>
      <c r="R1207" s="59"/>
      <c r="S1207" s="59"/>
      <c r="T1207" s="59"/>
      <c r="U1207" s="59"/>
      <c r="V1207" s="59"/>
      <c r="W1207" s="59"/>
      <c r="X1207" s="59"/>
      <c r="Y1207" s="59"/>
      <c r="Z1207" s="10"/>
      <c r="AA1207" s="74"/>
      <c r="AB1207" s="59"/>
      <c r="AC1207" s="9"/>
    </row>
    <row r="1208">
      <c r="A1208" s="9"/>
      <c r="B1208" s="19"/>
      <c r="C1208" s="9"/>
      <c r="D1208" s="9"/>
      <c r="E1208" s="59"/>
      <c r="F1208" s="9"/>
      <c r="G1208" s="9"/>
      <c r="H1208" s="59"/>
      <c r="I1208" s="59"/>
      <c r="J1208" s="59"/>
      <c r="K1208" s="59"/>
      <c r="L1208" s="59"/>
      <c r="M1208" s="59"/>
      <c r="N1208" s="21"/>
      <c r="O1208" s="59"/>
      <c r="P1208" s="59"/>
      <c r="Q1208" s="59"/>
      <c r="R1208" s="59"/>
      <c r="S1208" s="59"/>
      <c r="T1208" s="59"/>
      <c r="U1208" s="59"/>
      <c r="V1208" s="59"/>
      <c r="W1208" s="59"/>
      <c r="X1208" s="59"/>
      <c r="Y1208" s="59"/>
      <c r="Z1208" s="10"/>
      <c r="AA1208" s="74"/>
      <c r="AB1208" s="59"/>
      <c r="AC1208" s="9"/>
    </row>
    <row r="1209">
      <c r="A1209" s="9"/>
      <c r="B1209" s="19"/>
      <c r="C1209" s="9"/>
      <c r="D1209" s="9"/>
      <c r="E1209" s="59"/>
      <c r="F1209" s="9"/>
      <c r="G1209" s="9"/>
      <c r="H1209" s="59"/>
      <c r="I1209" s="59"/>
      <c r="J1209" s="59"/>
      <c r="K1209" s="59"/>
      <c r="L1209" s="59"/>
      <c r="M1209" s="59"/>
      <c r="N1209" s="21"/>
      <c r="O1209" s="59"/>
      <c r="P1209" s="59"/>
      <c r="Q1209" s="59"/>
      <c r="R1209" s="59"/>
      <c r="S1209" s="59"/>
      <c r="T1209" s="59"/>
      <c r="U1209" s="59"/>
      <c r="V1209" s="59"/>
      <c r="W1209" s="59"/>
      <c r="X1209" s="59"/>
      <c r="Y1209" s="59"/>
      <c r="Z1209" s="10"/>
      <c r="AA1209" s="74"/>
      <c r="AB1209" s="59"/>
      <c r="AC1209" s="9"/>
    </row>
    <row r="1210">
      <c r="A1210" s="9"/>
      <c r="B1210" s="19"/>
      <c r="C1210" s="9"/>
      <c r="D1210" s="9"/>
      <c r="E1210" s="59"/>
      <c r="F1210" s="9"/>
      <c r="G1210" s="9"/>
      <c r="H1210" s="59"/>
      <c r="I1210" s="59"/>
      <c r="J1210" s="59"/>
      <c r="K1210" s="59"/>
      <c r="L1210" s="59"/>
      <c r="M1210" s="59"/>
      <c r="N1210" s="21"/>
      <c r="O1210" s="59"/>
      <c r="P1210" s="59"/>
      <c r="Q1210" s="59"/>
      <c r="R1210" s="59"/>
      <c r="S1210" s="59"/>
      <c r="T1210" s="59"/>
      <c r="U1210" s="59"/>
      <c r="V1210" s="59"/>
      <c r="W1210" s="59"/>
      <c r="X1210" s="59"/>
      <c r="Y1210" s="59"/>
      <c r="Z1210" s="10"/>
      <c r="AA1210" s="74"/>
      <c r="AB1210" s="59"/>
      <c r="AC1210" s="9"/>
    </row>
    <row r="1211">
      <c r="A1211" s="9"/>
      <c r="B1211" s="19"/>
      <c r="C1211" s="9"/>
      <c r="D1211" s="9"/>
      <c r="E1211" s="59"/>
      <c r="F1211" s="9"/>
      <c r="G1211" s="9"/>
      <c r="H1211" s="59"/>
      <c r="I1211" s="59"/>
      <c r="J1211" s="59"/>
      <c r="K1211" s="59"/>
      <c r="L1211" s="59"/>
      <c r="M1211" s="59"/>
      <c r="N1211" s="21"/>
      <c r="O1211" s="59"/>
      <c r="P1211" s="59"/>
      <c r="Q1211" s="59"/>
      <c r="R1211" s="59"/>
      <c r="S1211" s="59"/>
      <c r="T1211" s="59"/>
      <c r="U1211" s="59"/>
      <c r="V1211" s="59"/>
      <c r="W1211" s="59"/>
      <c r="X1211" s="59"/>
      <c r="Y1211" s="59"/>
      <c r="Z1211" s="10"/>
      <c r="AA1211" s="74"/>
      <c r="AB1211" s="59"/>
      <c r="AC1211" s="9"/>
    </row>
    <row r="1212">
      <c r="A1212" s="9"/>
      <c r="B1212" s="19"/>
      <c r="C1212" s="9"/>
      <c r="D1212" s="9"/>
      <c r="E1212" s="59"/>
      <c r="F1212" s="9"/>
      <c r="G1212" s="9"/>
      <c r="H1212" s="59"/>
      <c r="I1212" s="59"/>
      <c r="J1212" s="59"/>
      <c r="K1212" s="59"/>
      <c r="L1212" s="59"/>
      <c r="M1212" s="59"/>
      <c r="N1212" s="21"/>
      <c r="O1212" s="59"/>
      <c r="P1212" s="59"/>
      <c r="Q1212" s="59"/>
      <c r="R1212" s="59"/>
      <c r="S1212" s="59"/>
      <c r="T1212" s="59"/>
      <c r="U1212" s="59"/>
      <c r="V1212" s="59"/>
      <c r="W1212" s="59"/>
      <c r="X1212" s="59"/>
      <c r="Y1212" s="59"/>
      <c r="Z1212" s="10"/>
      <c r="AA1212" s="74"/>
      <c r="AB1212" s="59"/>
      <c r="AC1212" s="9"/>
    </row>
    <row r="1213">
      <c r="A1213" s="9"/>
      <c r="B1213" s="19"/>
      <c r="C1213" s="9"/>
      <c r="D1213" s="9"/>
      <c r="E1213" s="59"/>
      <c r="F1213" s="9"/>
      <c r="G1213" s="9"/>
      <c r="H1213" s="59"/>
      <c r="I1213" s="59"/>
      <c r="J1213" s="59"/>
      <c r="K1213" s="59"/>
      <c r="L1213" s="59"/>
      <c r="M1213" s="59"/>
      <c r="N1213" s="21"/>
      <c r="O1213" s="59"/>
      <c r="P1213" s="59"/>
      <c r="Q1213" s="59"/>
      <c r="R1213" s="59"/>
      <c r="S1213" s="59"/>
      <c r="T1213" s="59"/>
      <c r="U1213" s="59"/>
      <c r="V1213" s="59"/>
      <c r="W1213" s="59"/>
      <c r="X1213" s="59"/>
      <c r="Y1213" s="59"/>
      <c r="Z1213" s="10"/>
      <c r="AA1213" s="74"/>
      <c r="AB1213" s="59"/>
      <c r="AC1213" s="9"/>
    </row>
    <row r="1214">
      <c r="A1214" s="9"/>
      <c r="B1214" s="19"/>
      <c r="C1214" s="9"/>
      <c r="D1214" s="9"/>
      <c r="E1214" s="59"/>
      <c r="F1214" s="9"/>
      <c r="G1214" s="9"/>
      <c r="H1214" s="59"/>
      <c r="I1214" s="59"/>
      <c r="J1214" s="59"/>
      <c r="K1214" s="59"/>
      <c r="L1214" s="59"/>
      <c r="M1214" s="59"/>
      <c r="N1214" s="21"/>
      <c r="O1214" s="59"/>
      <c r="P1214" s="59"/>
      <c r="Q1214" s="59"/>
      <c r="R1214" s="59"/>
      <c r="S1214" s="59"/>
      <c r="T1214" s="59"/>
      <c r="U1214" s="59"/>
      <c r="V1214" s="59"/>
      <c r="W1214" s="59"/>
      <c r="X1214" s="59"/>
      <c r="Y1214" s="59"/>
      <c r="Z1214" s="10"/>
      <c r="AA1214" s="74"/>
      <c r="AB1214" s="59"/>
      <c r="AC1214" s="9"/>
    </row>
    <row r="1215">
      <c r="A1215" s="9"/>
      <c r="B1215" s="19"/>
      <c r="C1215" s="9"/>
      <c r="D1215" s="9"/>
      <c r="E1215" s="59"/>
      <c r="F1215" s="9"/>
      <c r="G1215" s="9"/>
      <c r="H1215" s="59"/>
      <c r="I1215" s="59"/>
      <c r="J1215" s="59"/>
      <c r="K1215" s="59"/>
      <c r="L1215" s="59"/>
      <c r="M1215" s="59"/>
      <c r="N1215" s="21"/>
      <c r="O1215" s="59"/>
      <c r="P1215" s="59"/>
      <c r="Q1215" s="59"/>
      <c r="R1215" s="59"/>
      <c r="S1215" s="59"/>
      <c r="T1215" s="59"/>
      <c r="U1215" s="59"/>
      <c r="V1215" s="59"/>
      <c r="W1215" s="59"/>
      <c r="X1215" s="59"/>
      <c r="Y1215" s="59"/>
      <c r="Z1215" s="10"/>
      <c r="AA1215" s="74"/>
      <c r="AB1215" s="59"/>
      <c r="AC1215" s="9"/>
    </row>
    <row r="1216">
      <c r="A1216" s="9"/>
      <c r="B1216" s="19"/>
      <c r="C1216" s="9"/>
      <c r="D1216" s="9"/>
      <c r="E1216" s="59"/>
      <c r="F1216" s="9"/>
      <c r="G1216" s="9"/>
      <c r="H1216" s="59"/>
      <c r="I1216" s="59"/>
      <c r="J1216" s="59"/>
      <c r="K1216" s="59"/>
      <c r="L1216" s="59"/>
      <c r="M1216" s="59"/>
      <c r="N1216" s="21"/>
      <c r="O1216" s="59"/>
      <c r="P1216" s="59"/>
      <c r="Q1216" s="59"/>
      <c r="R1216" s="59"/>
      <c r="S1216" s="59"/>
      <c r="T1216" s="59"/>
      <c r="U1216" s="59"/>
      <c r="V1216" s="59"/>
      <c r="W1216" s="59"/>
      <c r="X1216" s="59"/>
      <c r="Y1216" s="59"/>
      <c r="Z1216" s="10"/>
      <c r="AA1216" s="74"/>
      <c r="AB1216" s="59"/>
      <c r="AC1216" s="9"/>
    </row>
    <row r="1217">
      <c r="A1217" s="9"/>
      <c r="B1217" s="19"/>
      <c r="C1217" s="9"/>
      <c r="D1217" s="9"/>
      <c r="E1217" s="59"/>
      <c r="F1217" s="9"/>
      <c r="G1217" s="9"/>
      <c r="H1217" s="59"/>
      <c r="I1217" s="59"/>
      <c r="J1217" s="59"/>
      <c r="K1217" s="59"/>
      <c r="L1217" s="59"/>
      <c r="M1217" s="59"/>
      <c r="N1217" s="21"/>
      <c r="O1217" s="59"/>
      <c r="P1217" s="59"/>
      <c r="Q1217" s="59"/>
      <c r="R1217" s="59"/>
      <c r="S1217" s="59"/>
      <c r="T1217" s="59"/>
      <c r="U1217" s="59"/>
      <c r="V1217" s="59"/>
      <c r="W1217" s="59"/>
      <c r="X1217" s="59"/>
      <c r="Y1217" s="59"/>
      <c r="Z1217" s="10"/>
      <c r="AA1217" s="74"/>
      <c r="AB1217" s="59"/>
      <c r="AC1217" s="9"/>
    </row>
    <row r="1218">
      <c r="A1218" s="9"/>
      <c r="B1218" s="19"/>
      <c r="C1218" s="9"/>
      <c r="D1218" s="9"/>
      <c r="E1218" s="59"/>
      <c r="F1218" s="9"/>
      <c r="G1218" s="9"/>
      <c r="H1218" s="59"/>
      <c r="I1218" s="59"/>
      <c r="J1218" s="59"/>
      <c r="K1218" s="59"/>
      <c r="L1218" s="59"/>
      <c r="M1218" s="59"/>
      <c r="N1218" s="21"/>
      <c r="O1218" s="59"/>
      <c r="P1218" s="59"/>
      <c r="Q1218" s="59"/>
      <c r="R1218" s="59"/>
      <c r="S1218" s="59"/>
      <c r="T1218" s="59"/>
      <c r="U1218" s="59"/>
      <c r="V1218" s="59"/>
      <c r="W1218" s="59"/>
      <c r="X1218" s="59"/>
      <c r="Y1218" s="59"/>
      <c r="Z1218" s="10"/>
      <c r="AA1218" s="74"/>
      <c r="AB1218" s="59"/>
      <c r="AC1218" s="9"/>
    </row>
    <row r="1219">
      <c r="A1219" s="9"/>
      <c r="B1219" s="19"/>
      <c r="C1219" s="9"/>
      <c r="D1219" s="9"/>
      <c r="E1219" s="59"/>
      <c r="F1219" s="9"/>
      <c r="G1219" s="9"/>
      <c r="H1219" s="59"/>
      <c r="I1219" s="59"/>
      <c r="J1219" s="59"/>
      <c r="K1219" s="59"/>
      <c r="L1219" s="59"/>
      <c r="M1219" s="59"/>
      <c r="N1219" s="21"/>
      <c r="O1219" s="59"/>
      <c r="P1219" s="59"/>
      <c r="Q1219" s="59"/>
      <c r="R1219" s="59"/>
      <c r="S1219" s="59"/>
      <c r="T1219" s="59"/>
      <c r="U1219" s="59"/>
      <c r="V1219" s="59"/>
      <c r="W1219" s="59"/>
      <c r="X1219" s="59"/>
      <c r="Y1219" s="59"/>
      <c r="Z1219" s="10"/>
      <c r="AA1219" s="74"/>
      <c r="AB1219" s="59"/>
      <c r="AC1219" s="9"/>
    </row>
    <row r="1220">
      <c r="A1220" s="9"/>
      <c r="B1220" s="19"/>
      <c r="C1220" s="9"/>
      <c r="D1220" s="9"/>
      <c r="E1220" s="59"/>
      <c r="F1220" s="9"/>
      <c r="G1220" s="9"/>
      <c r="H1220" s="59"/>
      <c r="I1220" s="59"/>
      <c r="J1220" s="59"/>
      <c r="K1220" s="59"/>
      <c r="L1220" s="59"/>
      <c r="M1220" s="59"/>
      <c r="N1220" s="21"/>
      <c r="O1220" s="59"/>
      <c r="P1220" s="59"/>
      <c r="Q1220" s="59"/>
      <c r="R1220" s="59"/>
      <c r="S1220" s="59"/>
      <c r="T1220" s="59"/>
      <c r="U1220" s="59"/>
      <c r="V1220" s="59"/>
      <c r="W1220" s="59"/>
      <c r="X1220" s="59"/>
      <c r="Y1220" s="59"/>
      <c r="Z1220" s="10"/>
      <c r="AA1220" s="74"/>
      <c r="AB1220" s="59"/>
      <c r="AC1220" s="9"/>
    </row>
    <row r="1221">
      <c r="A1221" s="9"/>
      <c r="B1221" s="19"/>
      <c r="C1221" s="9"/>
      <c r="D1221" s="9"/>
      <c r="E1221" s="59"/>
      <c r="F1221" s="9"/>
      <c r="G1221" s="9"/>
      <c r="H1221" s="59"/>
      <c r="I1221" s="59"/>
      <c r="J1221" s="59"/>
      <c r="K1221" s="59"/>
      <c r="L1221" s="59"/>
      <c r="M1221" s="59"/>
      <c r="N1221" s="21"/>
      <c r="O1221" s="59"/>
      <c r="P1221" s="59"/>
      <c r="Q1221" s="59"/>
      <c r="R1221" s="59"/>
      <c r="S1221" s="59"/>
      <c r="T1221" s="59"/>
      <c r="U1221" s="59"/>
      <c r="V1221" s="59"/>
      <c r="W1221" s="59"/>
      <c r="X1221" s="59"/>
      <c r="Y1221" s="59"/>
      <c r="Z1221" s="10"/>
      <c r="AA1221" s="74"/>
      <c r="AB1221" s="59"/>
      <c r="AC1221" s="9"/>
    </row>
    <row r="1222">
      <c r="A1222" s="9"/>
      <c r="B1222" s="19"/>
      <c r="C1222" s="9"/>
      <c r="D1222" s="9"/>
      <c r="E1222" s="59"/>
      <c r="F1222" s="9"/>
      <c r="G1222" s="9"/>
      <c r="H1222" s="59"/>
      <c r="I1222" s="59"/>
      <c r="J1222" s="59"/>
      <c r="K1222" s="59"/>
      <c r="L1222" s="59"/>
      <c r="M1222" s="59"/>
      <c r="N1222" s="21"/>
      <c r="O1222" s="59"/>
      <c r="P1222" s="59"/>
      <c r="Q1222" s="59"/>
      <c r="R1222" s="59"/>
      <c r="S1222" s="59"/>
      <c r="T1222" s="59"/>
      <c r="U1222" s="59"/>
      <c r="V1222" s="59"/>
      <c r="W1222" s="59"/>
      <c r="X1222" s="59"/>
      <c r="Y1222" s="59"/>
      <c r="Z1222" s="10"/>
      <c r="AA1222" s="74"/>
      <c r="AB1222" s="59"/>
      <c r="AC1222" s="9"/>
    </row>
    <row r="1223">
      <c r="A1223" s="9"/>
      <c r="B1223" s="19"/>
      <c r="C1223" s="9"/>
      <c r="D1223" s="9"/>
      <c r="E1223" s="59"/>
      <c r="F1223" s="9"/>
      <c r="G1223" s="9"/>
      <c r="H1223" s="59"/>
      <c r="I1223" s="59"/>
      <c r="J1223" s="59"/>
      <c r="K1223" s="59"/>
      <c r="L1223" s="59"/>
      <c r="M1223" s="59"/>
      <c r="N1223" s="21"/>
      <c r="O1223" s="59"/>
      <c r="P1223" s="59"/>
      <c r="Q1223" s="59"/>
      <c r="R1223" s="59"/>
      <c r="S1223" s="59"/>
      <c r="T1223" s="59"/>
      <c r="U1223" s="59"/>
      <c r="V1223" s="59"/>
      <c r="W1223" s="59"/>
      <c r="X1223" s="59"/>
      <c r="Y1223" s="59"/>
      <c r="Z1223" s="10"/>
      <c r="AA1223" s="74"/>
      <c r="AB1223" s="59"/>
      <c r="AC1223" s="9"/>
    </row>
    <row r="1224">
      <c r="A1224" s="9"/>
      <c r="B1224" s="19"/>
      <c r="C1224" s="9"/>
      <c r="D1224" s="9"/>
      <c r="E1224" s="59"/>
      <c r="F1224" s="9"/>
      <c r="G1224" s="9"/>
      <c r="H1224" s="59"/>
      <c r="I1224" s="59"/>
      <c r="J1224" s="59"/>
      <c r="K1224" s="59"/>
      <c r="L1224" s="59"/>
      <c r="M1224" s="59"/>
      <c r="N1224" s="21"/>
      <c r="O1224" s="59"/>
      <c r="P1224" s="59"/>
      <c r="Q1224" s="59"/>
      <c r="R1224" s="59"/>
      <c r="S1224" s="59"/>
      <c r="T1224" s="59"/>
      <c r="U1224" s="59"/>
      <c r="V1224" s="59"/>
      <c r="W1224" s="59"/>
      <c r="X1224" s="59"/>
      <c r="Y1224" s="59"/>
      <c r="Z1224" s="10"/>
      <c r="AA1224" s="74"/>
      <c r="AB1224" s="59"/>
      <c r="AC1224" s="9"/>
    </row>
    <row r="1225">
      <c r="A1225" s="9"/>
      <c r="B1225" s="19"/>
      <c r="C1225" s="9"/>
      <c r="D1225" s="9"/>
      <c r="E1225" s="59"/>
      <c r="F1225" s="9"/>
      <c r="G1225" s="9"/>
      <c r="H1225" s="59"/>
      <c r="I1225" s="59"/>
      <c r="J1225" s="59"/>
      <c r="K1225" s="59"/>
      <c r="L1225" s="59"/>
      <c r="M1225" s="59"/>
      <c r="N1225" s="21"/>
      <c r="O1225" s="59"/>
      <c r="P1225" s="59"/>
      <c r="Q1225" s="59"/>
      <c r="R1225" s="59"/>
      <c r="S1225" s="59"/>
      <c r="T1225" s="59"/>
      <c r="U1225" s="59"/>
      <c r="V1225" s="59"/>
      <c r="W1225" s="59"/>
      <c r="X1225" s="59"/>
      <c r="Y1225" s="59"/>
      <c r="Z1225" s="10"/>
      <c r="AA1225" s="74"/>
      <c r="AB1225" s="59"/>
      <c r="AC1225" s="9"/>
    </row>
    <row r="1226">
      <c r="A1226" s="9"/>
      <c r="B1226" s="19"/>
      <c r="C1226" s="9"/>
      <c r="D1226" s="9"/>
      <c r="E1226" s="59"/>
      <c r="F1226" s="9"/>
      <c r="G1226" s="9"/>
      <c r="H1226" s="59"/>
      <c r="I1226" s="59"/>
      <c r="J1226" s="59"/>
      <c r="K1226" s="59"/>
      <c r="L1226" s="59"/>
      <c r="M1226" s="59"/>
      <c r="N1226" s="21"/>
      <c r="O1226" s="59"/>
      <c r="P1226" s="59"/>
      <c r="Q1226" s="59"/>
      <c r="R1226" s="59"/>
      <c r="S1226" s="59"/>
      <c r="T1226" s="59"/>
      <c r="U1226" s="59"/>
      <c r="V1226" s="59"/>
      <c r="W1226" s="59"/>
      <c r="X1226" s="59"/>
      <c r="Y1226" s="59"/>
      <c r="Z1226" s="10"/>
      <c r="AA1226" s="74"/>
      <c r="AB1226" s="59"/>
      <c r="AC1226" s="9"/>
    </row>
    <row r="1227">
      <c r="A1227" s="9"/>
      <c r="B1227" s="19"/>
      <c r="C1227" s="9"/>
      <c r="D1227" s="9"/>
      <c r="E1227" s="59"/>
      <c r="F1227" s="9"/>
      <c r="G1227" s="9"/>
      <c r="H1227" s="59"/>
      <c r="I1227" s="59"/>
      <c r="J1227" s="59"/>
      <c r="K1227" s="59"/>
      <c r="L1227" s="59"/>
      <c r="M1227" s="59"/>
      <c r="N1227" s="21"/>
      <c r="O1227" s="59"/>
      <c r="P1227" s="59"/>
      <c r="Q1227" s="59"/>
      <c r="R1227" s="59"/>
      <c r="S1227" s="59"/>
      <c r="T1227" s="59"/>
      <c r="U1227" s="59"/>
      <c r="V1227" s="59"/>
      <c r="W1227" s="59"/>
      <c r="X1227" s="59"/>
      <c r="Y1227" s="59"/>
      <c r="Z1227" s="10"/>
      <c r="AA1227" s="74"/>
      <c r="AB1227" s="59"/>
      <c r="AC1227" s="9"/>
    </row>
    <row r="1228">
      <c r="A1228" s="9"/>
      <c r="B1228" s="19"/>
      <c r="C1228" s="9"/>
      <c r="D1228" s="9"/>
      <c r="E1228" s="59"/>
      <c r="F1228" s="9"/>
      <c r="G1228" s="9"/>
      <c r="H1228" s="59"/>
      <c r="I1228" s="59"/>
      <c r="J1228" s="59"/>
      <c r="K1228" s="59"/>
      <c r="L1228" s="59"/>
      <c r="M1228" s="59"/>
      <c r="N1228" s="21"/>
      <c r="O1228" s="59"/>
      <c r="P1228" s="59"/>
      <c r="Q1228" s="59"/>
      <c r="R1228" s="59"/>
      <c r="S1228" s="59"/>
      <c r="T1228" s="59"/>
      <c r="U1228" s="59"/>
      <c r="V1228" s="59"/>
      <c r="W1228" s="59"/>
      <c r="X1228" s="59"/>
      <c r="Y1228" s="59"/>
      <c r="Z1228" s="10"/>
      <c r="AA1228" s="74"/>
      <c r="AB1228" s="59"/>
      <c r="AC1228" s="9"/>
    </row>
    <row r="1229">
      <c r="A1229" s="9"/>
      <c r="B1229" s="19"/>
      <c r="C1229" s="9"/>
      <c r="D1229" s="9"/>
      <c r="E1229" s="59"/>
      <c r="F1229" s="9"/>
      <c r="G1229" s="9"/>
      <c r="H1229" s="59"/>
      <c r="I1229" s="59"/>
      <c r="J1229" s="59"/>
      <c r="K1229" s="59"/>
      <c r="L1229" s="59"/>
      <c r="M1229" s="59"/>
      <c r="N1229" s="21"/>
      <c r="O1229" s="59"/>
      <c r="P1229" s="59"/>
      <c r="Q1229" s="59"/>
      <c r="R1229" s="59"/>
      <c r="S1229" s="59"/>
      <c r="T1229" s="59"/>
      <c r="U1229" s="59"/>
      <c r="V1229" s="59"/>
      <c r="W1229" s="59"/>
      <c r="X1229" s="59"/>
      <c r="Y1229" s="59"/>
      <c r="Z1229" s="10"/>
      <c r="AA1229" s="74"/>
      <c r="AB1229" s="59"/>
      <c r="AC1229" s="9"/>
    </row>
    <row r="1230">
      <c r="A1230" s="9"/>
      <c r="B1230" s="19"/>
      <c r="C1230" s="9"/>
      <c r="D1230" s="9"/>
      <c r="E1230" s="59"/>
      <c r="F1230" s="9"/>
      <c r="G1230" s="9"/>
      <c r="H1230" s="59"/>
      <c r="I1230" s="59"/>
      <c r="J1230" s="59"/>
      <c r="K1230" s="59"/>
      <c r="L1230" s="59"/>
      <c r="M1230" s="59"/>
      <c r="N1230" s="21"/>
      <c r="O1230" s="59"/>
      <c r="P1230" s="59"/>
      <c r="Q1230" s="59"/>
      <c r="R1230" s="59"/>
      <c r="S1230" s="59"/>
      <c r="T1230" s="59"/>
      <c r="U1230" s="59"/>
      <c r="V1230" s="59"/>
      <c r="W1230" s="59"/>
      <c r="X1230" s="59"/>
      <c r="Y1230" s="59"/>
      <c r="Z1230" s="10"/>
      <c r="AA1230" s="74"/>
      <c r="AB1230" s="59"/>
      <c r="AC1230" s="9"/>
    </row>
    <row r="1231">
      <c r="A1231" s="9"/>
      <c r="B1231" s="19"/>
      <c r="C1231" s="9"/>
      <c r="D1231" s="9"/>
      <c r="E1231" s="59"/>
      <c r="F1231" s="9"/>
      <c r="G1231" s="9"/>
      <c r="H1231" s="59"/>
      <c r="I1231" s="59"/>
      <c r="J1231" s="59"/>
      <c r="K1231" s="59"/>
      <c r="L1231" s="59"/>
      <c r="M1231" s="59"/>
      <c r="N1231" s="21"/>
      <c r="O1231" s="59"/>
      <c r="P1231" s="59"/>
      <c r="Q1231" s="59"/>
      <c r="R1231" s="59"/>
      <c r="S1231" s="59"/>
      <c r="T1231" s="59"/>
      <c r="U1231" s="59"/>
      <c r="V1231" s="59"/>
      <c r="W1231" s="59"/>
      <c r="X1231" s="59"/>
      <c r="Y1231" s="59"/>
      <c r="Z1231" s="10"/>
      <c r="AA1231" s="74"/>
      <c r="AB1231" s="59"/>
      <c r="AC1231" s="9"/>
    </row>
    <row r="1232">
      <c r="A1232" s="9"/>
      <c r="B1232" s="19"/>
      <c r="C1232" s="9"/>
      <c r="D1232" s="9"/>
      <c r="E1232" s="59"/>
      <c r="F1232" s="9"/>
      <c r="G1232" s="9"/>
      <c r="H1232" s="59"/>
      <c r="I1232" s="59"/>
      <c r="J1232" s="59"/>
      <c r="K1232" s="59"/>
      <c r="L1232" s="59"/>
      <c r="M1232" s="59"/>
      <c r="N1232" s="21"/>
      <c r="O1232" s="59"/>
      <c r="P1232" s="59"/>
      <c r="Q1232" s="59"/>
      <c r="R1232" s="59"/>
      <c r="S1232" s="59"/>
      <c r="T1232" s="59"/>
      <c r="U1232" s="59"/>
      <c r="V1232" s="59"/>
      <c r="W1232" s="59"/>
      <c r="X1232" s="59"/>
      <c r="Y1232" s="59"/>
      <c r="Z1232" s="10"/>
      <c r="AA1232" s="74"/>
      <c r="AB1232" s="59"/>
      <c r="AC1232" s="9"/>
    </row>
    <row r="1233">
      <c r="A1233" s="9"/>
      <c r="B1233" s="19"/>
      <c r="C1233" s="9"/>
      <c r="D1233" s="9"/>
      <c r="E1233" s="59"/>
      <c r="F1233" s="9"/>
      <c r="G1233" s="9"/>
      <c r="H1233" s="59"/>
      <c r="I1233" s="59"/>
      <c r="J1233" s="59"/>
      <c r="K1233" s="59"/>
      <c r="L1233" s="59"/>
      <c r="M1233" s="59"/>
      <c r="N1233" s="21"/>
      <c r="O1233" s="59"/>
      <c r="P1233" s="59"/>
      <c r="Q1233" s="59"/>
      <c r="R1233" s="59"/>
      <c r="S1233" s="59"/>
      <c r="T1233" s="59"/>
      <c r="U1233" s="59"/>
      <c r="V1233" s="59"/>
      <c r="W1233" s="59"/>
      <c r="X1233" s="59"/>
      <c r="Y1233" s="59"/>
      <c r="Z1233" s="10"/>
      <c r="AA1233" s="74"/>
      <c r="AB1233" s="59"/>
      <c r="AC1233" s="9"/>
    </row>
    <row r="1234">
      <c r="A1234" s="9"/>
      <c r="B1234" s="19"/>
      <c r="C1234" s="9"/>
      <c r="D1234" s="9"/>
      <c r="E1234" s="59"/>
      <c r="F1234" s="9"/>
      <c r="G1234" s="9"/>
      <c r="H1234" s="59"/>
      <c r="I1234" s="59"/>
      <c r="J1234" s="59"/>
      <c r="K1234" s="59"/>
      <c r="L1234" s="59"/>
      <c r="M1234" s="59"/>
      <c r="N1234" s="21"/>
      <c r="O1234" s="59"/>
      <c r="P1234" s="59"/>
      <c r="Q1234" s="59"/>
      <c r="R1234" s="59"/>
      <c r="S1234" s="59"/>
      <c r="T1234" s="59"/>
      <c r="U1234" s="59"/>
      <c r="V1234" s="59"/>
      <c r="W1234" s="59"/>
      <c r="X1234" s="59"/>
      <c r="Y1234" s="59"/>
      <c r="Z1234" s="10"/>
      <c r="AA1234" s="74"/>
      <c r="AB1234" s="59"/>
      <c r="AC1234" s="9"/>
    </row>
    <row r="1235">
      <c r="A1235" s="9"/>
      <c r="B1235" s="19"/>
      <c r="C1235" s="9"/>
      <c r="D1235" s="9"/>
      <c r="E1235" s="59"/>
      <c r="F1235" s="9"/>
      <c r="G1235" s="9"/>
      <c r="H1235" s="59"/>
      <c r="I1235" s="59"/>
      <c r="J1235" s="59"/>
      <c r="K1235" s="59"/>
      <c r="L1235" s="59"/>
      <c r="M1235" s="59"/>
      <c r="N1235" s="21"/>
      <c r="O1235" s="59"/>
      <c r="P1235" s="59"/>
      <c r="Q1235" s="59"/>
      <c r="R1235" s="59"/>
      <c r="S1235" s="59"/>
      <c r="T1235" s="59"/>
      <c r="U1235" s="59"/>
      <c r="V1235" s="59"/>
      <c r="W1235" s="59"/>
      <c r="X1235" s="59"/>
      <c r="Y1235" s="59"/>
      <c r="Z1235" s="10"/>
      <c r="AA1235" s="74"/>
      <c r="AB1235" s="59"/>
      <c r="AC1235" s="9"/>
    </row>
    <row r="1236">
      <c r="A1236" s="9"/>
      <c r="B1236" s="19"/>
      <c r="C1236" s="9"/>
      <c r="D1236" s="9"/>
      <c r="E1236" s="59"/>
      <c r="F1236" s="9"/>
      <c r="G1236" s="9"/>
      <c r="H1236" s="59"/>
      <c r="I1236" s="59"/>
      <c r="J1236" s="59"/>
      <c r="K1236" s="59"/>
      <c r="L1236" s="59"/>
      <c r="M1236" s="59"/>
      <c r="N1236" s="21"/>
      <c r="O1236" s="59"/>
      <c r="P1236" s="59"/>
      <c r="Q1236" s="59"/>
      <c r="R1236" s="59"/>
      <c r="S1236" s="59"/>
      <c r="T1236" s="59"/>
      <c r="U1236" s="59"/>
      <c r="V1236" s="59"/>
      <c r="W1236" s="59"/>
      <c r="X1236" s="59"/>
      <c r="Y1236" s="59"/>
      <c r="Z1236" s="10"/>
      <c r="AA1236" s="74"/>
      <c r="AB1236" s="59"/>
      <c r="AC1236" s="9"/>
    </row>
    <row r="1237">
      <c r="A1237" s="9"/>
      <c r="B1237" s="19"/>
      <c r="C1237" s="9"/>
      <c r="D1237" s="9"/>
      <c r="E1237" s="59"/>
      <c r="F1237" s="9"/>
      <c r="G1237" s="9"/>
      <c r="H1237" s="59"/>
      <c r="I1237" s="59"/>
      <c r="J1237" s="59"/>
      <c r="K1237" s="59"/>
      <c r="L1237" s="59"/>
      <c r="M1237" s="59"/>
      <c r="N1237" s="21"/>
      <c r="O1237" s="59"/>
      <c r="P1237" s="59"/>
      <c r="Q1237" s="59"/>
      <c r="R1237" s="59"/>
      <c r="S1237" s="59"/>
      <c r="T1237" s="59"/>
      <c r="U1237" s="59"/>
      <c r="V1237" s="59"/>
      <c r="W1237" s="59"/>
      <c r="X1237" s="59"/>
      <c r="Y1237" s="59"/>
      <c r="Z1237" s="10"/>
      <c r="AA1237" s="74"/>
      <c r="AB1237" s="59"/>
      <c r="AC1237" s="9"/>
    </row>
    <row r="1238">
      <c r="A1238" s="9"/>
      <c r="B1238" s="19"/>
      <c r="C1238" s="9"/>
      <c r="D1238" s="9"/>
      <c r="E1238" s="59"/>
      <c r="F1238" s="9"/>
      <c r="G1238" s="9"/>
      <c r="H1238" s="59"/>
      <c r="I1238" s="59"/>
      <c r="J1238" s="59"/>
      <c r="K1238" s="59"/>
      <c r="L1238" s="59"/>
      <c r="M1238" s="59"/>
      <c r="N1238" s="21"/>
      <c r="O1238" s="59"/>
      <c r="P1238" s="59"/>
      <c r="Q1238" s="59"/>
      <c r="R1238" s="59"/>
      <c r="S1238" s="59"/>
      <c r="T1238" s="59"/>
      <c r="U1238" s="59"/>
      <c r="V1238" s="59"/>
      <c r="W1238" s="59"/>
      <c r="X1238" s="59"/>
      <c r="Y1238" s="59"/>
      <c r="Z1238" s="10"/>
      <c r="AA1238" s="74"/>
      <c r="AB1238" s="59"/>
      <c r="AC1238" s="9"/>
    </row>
    <row r="1239">
      <c r="A1239" s="9"/>
      <c r="B1239" s="19"/>
      <c r="C1239" s="9"/>
      <c r="D1239" s="9"/>
      <c r="E1239" s="59"/>
      <c r="F1239" s="9"/>
      <c r="G1239" s="9"/>
      <c r="H1239" s="59"/>
      <c r="I1239" s="59"/>
      <c r="J1239" s="59"/>
      <c r="K1239" s="59"/>
      <c r="L1239" s="59"/>
      <c r="M1239" s="59"/>
      <c r="N1239" s="21"/>
      <c r="O1239" s="59"/>
      <c r="P1239" s="59"/>
      <c r="Q1239" s="59"/>
      <c r="R1239" s="59"/>
      <c r="S1239" s="59"/>
      <c r="T1239" s="59"/>
      <c r="U1239" s="59"/>
      <c r="V1239" s="59"/>
      <c r="W1239" s="59"/>
      <c r="X1239" s="59"/>
      <c r="Y1239" s="59"/>
      <c r="Z1239" s="10"/>
      <c r="AA1239" s="74"/>
      <c r="AB1239" s="59"/>
      <c r="AC1239" s="9"/>
    </row>
    <row r="1240">
      <c r="A1240" s="9"/>
      <c r="B1240" s="19"/>
      <c r="C1240" s="9"/>
      <c r="D1240" s="9"/>
      <c r="E1240" s="59"/>
      <c r="F1240" s="9"/>
      <c r="G1240" s="9"/>
      <c r="H1240" s="59"/>
      <c r="I1240" s="59"/>
      <c r="J1240" s="59"/>
      <c r="K1240" s="59"/>
      <c r="L1240" s="59"/>
      <c r="M1240" s="59"/>
      <c r="N1240" s="21"/>
      <c r="O1240" s="59"/>
      <c r="P1240" s="59"/>
      <c r="Q1240" s="59"/>
      <c r="R1240" s="59"/>
      <c r="S1240" s="59"/>
      <c r="T1240" s="59"/>
      <c r="U1240" s="59"/>
      <c r="V1240" s="59"/>
      <c r="W1240" s="59"/>
      <c r="X1240" s="59"/>
      <c r="Y1240" s="59"/>
      <c r="Z1240" s="10"/>
      <c r="AA1240" s="74"/>
      <c r="AB1240" s="59"/>
      <c r="AC1240" s="9"/>
    </row>
    <row r="1241">
      <c r="A1241" s="9"/>
      <c r="B1241" s="19"/>
      <c r="C1241" s="9"/>
      <c r="D1241" s="9"/>
      <c r="E1241" s="59"/>
      <c r="F1241" s="9"/>
      <c r="G1241" s="9"/>
      <c r="H1241" s="59"/>
      <c r="I1241" s="59"/>
      <c r="J1241" s="59"/>
      <c r="K1241" s="59"/>
      <c r="L1241" s="59"/>
      <c r="M1241" s="59"/>
      <c r="N1241" s="21"/>
      <c r="O1241" s="59"/>
      <c r="P1241" s="59"/>
      <c r="Q1241" s="59"/>
      <c r="R1241" s="59"/>
      <c r="S1241" s="59"/>
      <c r="T1241" s="59"/>
      <c r="U1241" s="59"/>
      <c r="V1241" s="59"/>
      <c r="W1241" s="59"/>
      <c r="X1241" s="59"/>
      <c r="Y1241" s="59"/>
      <c r="Z1241" s="10"/>
      <c r="AA1241" s="74"/>
      <c r="AB1241" s="59"/>
      <c r="AC1241" s="9"/>
    </row>
    <row r="1242">
      <c r="A1242" s="9"/>
      <c r="B1242" s="19"/>
      <c r="C1242" s="9"/>
      <c r="D1242" s="9"/>
      <c r="E1242" s="59"/>
      <c r="F1242" s="9"/>
      <c r="G1242" s="9"/>
      <c r="H1242" s="59"/>
      <c r="I1242" s="59"/>
      <c r="J1242" s="59"/>
      <c r="K1242" s="59"/>
      <c r="L1242" s="59"/>
      <c r="M1242" s="59"/>
      <c r="N1242" s="21"/>
      <c r="O1242" s="59"/>
      <c r="P1242" s="59"/>
      <c r="Q1242" s="59"/>
      <c r="R1242" s="59"/>
      <c r="S1242" s="59"/>
      <c r="T1242" s="59"/>
      <c r="U1242" s="59"/>
      <c r="V1242" s="59"/>
      <c r="W1242" s="59"/>
      <c r="X1242" s="59"/>
      <c r="Y1242" s="59"/>
      <c r="Z1242" s="10"/>
      <c r="AA1242" s="74"/>
      <c r="AB1242" s="59"/>
      <c r="AC1242" s="9"/>
    </row>
    <row r="1243">
      <c r="A1243" s="9"/>
      <c r="B1243" s="19"/>
      <c r="C1243" s="9"/>
      <c r="D1243" s="9"/>
      <c r="E1243" s="59"/>
      <c r="F1243" s="9"/>
      <c r="G1243" s="9"/>
      <c r="H1243" s="59"/>
      <c r="I1243" s="59"/>
      <c r="J1243" s="59"/>
      <c r="K1243" s="59"/>
      <c r="L1243" s="59"/>
      <c r="M1243" s="59"/>
      <c r="N1243" s="21"/>
      <c r="O1243" s="59"/>
      <c r="P1243" s="59"/>
      <c r="Q1243" s="59"/>
      <c r="R1243" s="59"/>
      <c r="S1243" s="59"/>
      <c r="T1243" s="59"/>
      <c r="U1243" s="59"/>
      <c r="V1243" s="59"/>
      <c r="W1243" s="59"/>
      <c r="X1243" s="59"/>
      <c r="Y1243" s="59"/>
      <c r="Z1243" s="10"/>
      <c r="AA1243" s="74"/>
      <c r="AB1243" s="59"/>
      <c r="AC1243" s="9"/>
    </row>
    <row r="1244">
      <c r="A1244" s="9"/>
      <c r="B1244" s="19"/>
      <c r="C1244" s="9"/>
      <c r="D1244" s="9"/>
      <c r="E1244" s="59"/>
      <c r="F1244" s="9"/>
      <c r="G1244" s="9"/>
      <c r="H1244" s="59"/>
      <c r="I1244" s="59"/>
      <c r="J1244" s="59"/>
      <c r="K1244" s="59"/>
      <c r="L1244" s="59"/>
      <c r="M1244" s="59"/>
      <c r="N1244" s="21"/>
      <c r="O1244" s="59"/>
      <c r="P1244" s="59"/>
      <c r="Q1244" s="59"/>
      <c r="R1244" s="59"/>
      <c r="S1244" s="59"/>
      <c r="T1244" s="59"/>
      <c r="U1244" s="59"/>
      <c r="V1244" s="59"/>
      <c r="W1244" s="59"/>
      <c r="X1244" s="59"/>
      <c r="Y1244" s="59"/>
      <c r="Z1244" s="10"/>
      <c r="AA1244" s="74"/>
      <c r="AB1244" s="59"/>
      <c r="AC1244" s="9"/>
    </row>
    <row r="1245">
      <c r="A1245" s="9"/>
      <c r="B1245" s="19"/>
      <c r="C1245" s="9"/>
      <c r="D1245" s="9"/>
      <c r="E1245" s="59"/>
      <c r="F1245" s="9"/>
      <c r="G1245" s="9"/>
      <c r="H1245" s="59"/>
      <c r="I1245" s="59"/>
      <c r="J1245" s="59"/>
      <c r="K1245" s="59"/>
      <c r="L1245" s="59"/>
      <c r="M1245" s="59"/>
      <c r="N1245" s="21"/>
      <c r="O1245" s="59"/>
      <c r="P1245" s="59"/>
      <c r="Q1245" s="59"/>
      <c r="R1245" s="59"/>
      <c r="S1245" s="59"/>
      <c r="T1245" s="59"/>
      <c r="U1245" s="59"/>
      <c r="V1245" s="59"/>
      <c r="W1245" s="59"/>
      <c r="X1245" s="59"/>
      <c r="Y1245" s="59"/>
      <c r="Z1245" s="10"/>
      <c r="AA1245" s="74"/>
      <c r="AB1245" s="59"/>
      <c r="AC1245" s="9"/>
    </row>
    <row r="1246">
      <c r="A1246" s="9"/>
      <c r="B1246" s="19"/>
      <c r="C1246" s="9"/>
      <c r="D1246" s="9"/>
      <c r="E1246" s="59"/>
      <c r="F1246" s="9"/>
      <c r="G1246" s="9"/>
      <c r="H1246" s="59"/>
      <c r="I1246" s="59"/>
      <c r="J1246" s="59"/>
      <c r="K1246" s="59"/>
      <c r="L1246" s="59"/>
      <c r="M1246" s="59"/>
      <c r="N1246" s="21"/>
      <c r="O1246" s="59"/>
      <c r="P1246" s="59"/>
      <c r="Q1246" s="59"/>
      <c r="R1246" s="59"/>
      <c r="S1246" s="59"/>
      <c r="T1246" s="59"/>
      <c r="U1246" s="59"/>
      <c r="V1246" s="59"/>
      <c r="W1246" s="59"/>
      <c r="X1246" s="59"/>
      <c r="Y1246" s="59"/>
      <c r="Z1246" s="10"/>
      <c r="AA1246" s="74"/>
      <c r="AB1246" s="59"/>
      <c r="AC1246" s="9"/>
    </row>
    <row r="1247">
      <c r="A1247" s="9"/>
      <c r="B1247" s="19"/>
      <c r="C1247" s="9"/>
      <c r="D1247" s="9"/>
      <c r="E1247" s="59"/>
      <c r="F1247" s="9"/>
      <c r="G1247" s="9"/>
      <c r="H1247" s="59"/>
      <c r="I1247" s="59"/>
      <c r="J1247" s="59"/>
      <c r="K1247" s="59"/>
      <c r="L1247" s="59"/>
      <c r="M1247" s="59"/>
      <c r="N1247" s="21"/>
      <c r="O1247" s="59"/>
      <c r="P1247" s="59"/>
      <c r="Q1247" s="59"/>
      <c r="R1247" s="59"/>
      <c r="S1247" s="59"/>
      <c r="T1247" s="59"/>
      <c r="U1247" s="59"/>
      <c r="V1247" s="59"/>
      <c r="W1247" s="59"/>
      <c r="X1247" s="59"/>
      <c r="Y1247" s="59"/>
      <c r="Z1247" s="10"/>
      <c r="AA1247" s="74"/>
      <c r="AB1247" s="59"/>
      <c r="AC1247" s="9"/>
    </row>
    <row r="1248">
      <c r="A1248" s="9"/>
      <c r="B1248" s="19"/>
      <c r="C1248" s="9"/>
      <c r="D1248" s="9"/>
      <c r="E1248" s="59"/>
      <c r="F1248" s="9"/>
      <c r="G1248" s="9"/>
      <c r="H1248" s="59"/>
      <c r="I1248" s="59"/>
      <c r="J1248" s="59"/>
      <c r="K1248" s="59"/>
      <c r="L1248" s="59"/>
      <c r="M1248" s="59"/>
      <c r="N1248" s="21"/>
      <c r="O1248" s="59"/>
      <c r="P1248" s="59"/>
      <c r="Q1248" s="59"/>
      <c r="R1248" s="59"/>
      <c r="S1248" s="59"/>
      <c r="T1248" s="59"/>
      <c r="U1248" s="59"/>
      <c r="V1248" s="59"/>
      <c r="W1248" s="59"/>
      <c r="X1248" s="59"/>
      <c r="Y1248" s="59"/>
      <c r="Z1248" s="10"/>
      <c r="AA1248" s="74"/>
      <c r="AB1248" s="59"/>
      <c r="AC1248" s="9"/>
    </row>
    <row r="1249">
      <c r="A1249" s="9"/>
      <c r="B1249" s="19"/>
      <c r="C1249" s="9"/>
      <c r="D1249" s="9"/>
      <c r="E1249" s="59"/>
      <c r="F1249" s="9"/>
      <c r="G1249" s="9"/>
      <c r="H1249" s="59"/>
      <c r="I1249" s="59"/>
      <c r="J1249" s="59"/>
      <c r="K1249" s="59"/>
      <c r="L1249" s="59"/>
      <c r="M1249" s="59"/>
      <c r="N1249" s="21"/>
      <c r="O1249" s="59"/>
      <c r="P1249" s="59"/>
      <c r="Q1249" s="59"/>
      <c r="R1249" s="59"/>
      <c r="S1249" s="59"/>
      <c r="T1249" s="59"/>
      <c r="U1249" s="59"/>
      <c r="V1249" s="59"/>
      <c r="W1249" s="59"/>
      <c r="X1249" s="59"/>
      <c r="Y1249" s="59"/>
      <c r="Z1249" s="10"/>
      <c r="AA1249" s="74"/>
      <c r="AB1249" s="59"/>
      <c r="AC1249" s="9"/>
    </row>
    <row r="1250">
      <c r="A1250" s="9"/>
      <c r="B1250" s="19"/>
      <c r="C1250" s="9"/>
      <c r="D1250" s="9"/>
      <c r="E1250" s="59"/>
      <c r="F1250" s="9"/>
      <c r="G1250" s="9"/>
      <c r="H1250" s="59"/>
      <c r="I1250" s="59"/>
      <c r="J1250" s="59"/>
      <c r="K1250" s="59"/>
      <c r="L1250" s="59"/>
      <c r="M1250" s="59"/>
      <c r="N1250" s="21"/>
      <c r="O1250" s="59"/>
      <c r="P1250" s="59"/>
      <c r="Q1250" s="59"/>
      <c r="R1250" s="59"/>
      <c r="S1250" s="59"/>
      <c r="T1250" s="59"/>
      <c r="U1250" s="59"/>
      <c r="V1250" s="59"/>
      <c r="W1250" s="59"/>
      <c r="X1250" s="59"/>
      <c r="Y1250" s="59"/>
      <c r="Z1250" s="10"/>
      <c r="AA1250" s="74"/>
      <c r="AB1250" s="59"/>
      <c r="AC1250" s="9"/>
    </row>
    <row r="1251">
      <c r="A1251" s="9"/>
      <c r="B1251" s="19"/>
      <c r="C1251" s="9"/>
      <c r="D1251" s="9"/>
      <c r="E1251" s="59"/>
      <c r="F1251" s="9"/>
      <c r="G1251" s="9"/>
      <c r="H1251" s="59"/>
      <c r="I1251" s="59"/>
      <c r="J1251" s="59"/>
      <c r="K1251" s="59"/>
      <c r="L1251" s="59"/>
      <c r="M1251" s="59"/>
      <c r="N1251" s="21"/>
      <c r="O1251" s="59"/>
      <c r="P1251" s="59"/>
      <c r="Q1251" s="59"/>
      <c r="R1251" s="59"/>
      <c r="S1251" s="59"/>
      <c r="T1251" s="59"/>
      <c r="U1251" s="59"/>
      <c r="V1251" s="59"/>
      <c r="W1251" s="59"/>
      <c r="X1251" s="59"/>
      <c r="Y1251" s="59"/>
      <c r="Z1251" s="10"/>
      <c r="AA1251" s="74"/>
      <c r="AB1251" s="59"/>
      <c r="AC1251" s="9"/>
    </row>
    <row r="1252">
      <c r="A1252" s="9"/>
      <c r="B1252" s="19"/>
      <c r="C1252" s="9"/>
      <c r="D1252" s="9"/>
      <c r="E1252" s="59"/>
      <c r="F1252" s="9"/>
      <c r="G1252" s="9"/>
      <c r="H1252" s="59"/>
      <c r="I1252" s="59"/>
      <c r="J1252" s="59"/>
      <c r="K1252" s="59"/>
      <c r="L1252" s="59"/>
      <c r="M1252" s="59"/>
      <c r="N1252" s="21"/>
      <c r="O1252" s="59"/>
      <c r="P1252" s="59"/>
      <c r="Q1252" s="59"/>
      <c r="R1252" s="59"/>
      <c r="S1252" s="59"/>
      <c r="T1252" s="59"/>
      <c r="U1252" s="59"/>
      <c r="V1252" s="59"/>
      <c r="W1252" s="59"/>
      <c r="X1252" s="59"/>
      <c r="Y1252" s="59"/>
      <c r="Z1252" s="10"/>
      <c r="AA1252" s="74"/>
      <c r="AB1252" s="59"/>
      <c r="AC1252" s="9"/>
    </row>
    <row r="1253">
      <c r="A1253" s="9"/>
      <c r="B1253" s="19"/>
      <c r="C1253" s="9"/>
      <c r="D1253" s="9"/>
      <c r="E1253" s="59"/>
      <c r="F1253" s="9"/>
      <c r="G1253" s="9"/>
      <c r="H1253" s="59"/>
      <c r="I1253" s="59"/>
      <c r="J1253" s="59"/>
      <c r="K1253" s="59"/>
      <c r="L1253" s="59"/>
      <c r="M1253" s="59"/>
      <c r="N1253" s="21"/>
      <c r="O1253" s="59"/>
      <c r="P1253" s="59"/>
      <c r="Q1253" s="59"/>
      <c r="R1253" s="59"/>
      <c r="S1253" s="59"/>
      <c r="T1253" s="59"/>
      <c r="U1253" s="59"/>
      <c r="V1253" s="59"/>
      <c r="W1253" s="59"/>
      <c r="X1253" s="59"/>
      <c r="Y1253" s="59"/>
      <c r="Z1253" s="10"/>
      <c r="AA1253" s="74"/>
      <c r="AB1253" s="59"/>
      <c r="AC1253" s="9"/>
    </row>
    <row r="1254">
      <c r="A1254" s="9"/>
      <c r="B1254" s="19"/>
      <c r="C1254" s="9"/>
      <c r="D1254" s="9"/>
      <c r="E1254" s="59"/>
      <c r="F1254" s="9"/>
      <c r="G1254" s="9"/>
      <c r="H1254" s="59"/>
      <c r="I1254" s="59"/>
      <c r="J1254" s="59"/>
      <c r="K1254" s="59"/>
      <c r="L1254" s="59"/>
      <c r="M1254" s="59"/>
      <c r="N1254" s="21"/>
      <c r="O1254" s="59"/>
      <c r="P1254" s="59"/>
      <c r="Q1254" s="59"/>
      <c r="R1254" s="59"/>
      <c r="S1254" s="59"/>
      <c r="T1254" s="59"/>
      <c r="U1254" s="59"/>
      <c r="V1254" s="59"/>
      <c r="W1254" s="59"/>
      <c r="X1254" s="59"/>
      <c r="Y1254" s="59"/>
      <c r="Z1254" s="10"/>
      <c r="AA1254" s="74"/>
      <c r="AB1254" s="59"/>
      <c r="AC1254" s="9"/>
    </row>
    <row r="1255">
      <c r="A1255" s="9"/>
      <c r="B1255" s="19"/>
      <c r="C1255" s="9"/>
      <c r="D1255" s="9"/>
      <c r="E1255" s="59"/>
      <c r="F1255" s="9"/>
      <c r="G1255" s="9"/>
      <c r="H1255" s="59"/>
      <c r="I1255" s="59"/>
      <c r="J1255" s="59"/>
      <c r="K1255" s="59"/>
      <c r="L1255" s="59"/>
      <c r="M1255" s="59"/>
      <c r="N1255" s="21"/>
      <c r="O1255" s="59"/>
      <c r="P1255" s="59"/>
      <c r="Q1255" s="59"/>
      <c r="R1255" s="59"/>
      <c r="S1255" s="59"/>
      <c r="T1255" s="59"/>
      <c r="U1255" s="59"/>
      <c r="V1255" s="59"/>
      <c r="W1255" s="59"/>
      <c r="X1255" s="59"/>
      <c r="Y1255" s="59"/>
      <c r="Z1255" s="10"/>
      <c r="AA1255" s="74"/>
      <c r="AB1255" s="59"/>
      <c r="AC1255" s="9"/>
    </row>
    <row r="1256">
      <c r="A1256" s="9"/>
      <c r="B1256" s="19"/>
      <c r="C1256" s="9"/>
      <c r="D1256" s="9"/>
      <c r="E1256" s="59"/>
      <c r="F1256" s="9"/>
      <c r="G1256" s="9"/>
      <c r="H1256" s="59"/>
      <c r="I1256" s="59"/>
      <c r="J1256" s="59"/>
      <c r="K1256" s="59"/>
      <c r="L1256" s="59"/>
      <c r="M1256" s="59"/>
      <c r="N1256" s="21"/>
      <c r="O1256" s="59"/>
      <c r="P1256" s="59"/>
      <c r="Q1256" s="59"/>
      <c r="R1256" s="59"/>
      <c r="S1256" s="59"/>
      <c r="T1256" s="59"/>
      <c r="U1256" s="59"/>
      <c r="V1256" s="59"/>
      <c r="W1256" s="59"/>
      <c r="X1256" s="59"/>
      <c r="Y1256" s="59"/>
      <c r="Z1256" s="10"/>
      <c r="AA1256" s="74"/>
      <c r="AB1256" s="59"/>
      <c r="AC1256" s="9"/>
    </row>
    <row r="1257">
      <c r="A1257" s="9"/>
      <c r="B1257" s="19"/>
      <c r="C1257" s="9"/>
      <c r="D1257" s="9"/>
      <c r="E1257" s="59"/>
      <c r="F1257" s="9"/>
      <c r="G1257" s="9"/>
      <c r="H1257" s="59"/>
      <c r="I1257" s="59"/>
      <c r="J1257" s="59"/>
      <c r="K1257" s="59"/>
      <c r="L1257" s="59"/>
      <c r="M1257" s="59"/>
      <c r="N1257" s="21"/>
      <c r="O1257" s="59"/>
      <c r="P1257" s="59"/>
      <c r="Q1257" s="59"/>
      <c r="R1257" s="59"/>
      <c r="S1257" s="59"/>
      <c r="T1257" s="59"/>
      <c r="U1257" s="59"/>
      <c r="V1257" s="59"/>
      <c r="W1257" s="59"/>
      <c r="X1257" s="59"/>
      <c r="Y1257" s="59"/>
      <c r="Z1257" s="10"/>
      <c r="AA1257" s="74"/>
      <c r="AB1257" s="59"/>
      <c r="AC1257" s="9"/>
    </row>
    <row r="1258">
      <c r="A1258" s="9"/>
      <c r="B1258" s="19"/>
      <c r="C1258" s="9"/>
      <c r="D1258" s="9"/>
      <c r="E1258" s="59"/>
      <c r="F1258" s="9"/>
      <c r="G1258" s="9"/>
      <c r="H1258" s="59"/>
      <c r="I1258" s="59"/>
      <c r="J1258" s="59"/>
      <c r="K1258" s="59"/>
      <c r="L1258" s="59"/>
      <c r="M1258" s="59"/>
      <c r="N1258" s="21"/>
      <c r="O1258" s="59"/>
      <c r="P1258" s="59"/>
      <c r="Q1258" s="59"/>
      <c r="R1258" s="59"/>
      <c r="S1258" s="59"/>
      <c r="T1258" s="59"/>
      <c r="U1258" s="59"/>
      <c r="V1258" s="59"/>
      <c r="W1258" s="59"/>
      <c r="X1258" s="59"/>
      <c r="Y1258" s="59"/>
      <c r="Z1258" s="10"/>
      <c r="AA1258" s="74"/>
      <c r="AB1258" s="59"/>
      <c r="AC1258" s="9"/>
    </row>
    <row r="1259">
      <c r="A1259" s="9"/>
      <c r="B1259" s="19"/>
      <c r="C1259" s="9"/>
      <c r="D1259" s="9"/>
      <c r="E1259" s="59"/>
      <c r="F1259" s="9"/>
      <c r="G1259" s="9"/>
      <c r="H1259" s="59"/>
      <c r="I1259" s="59"/>
      <c r="J1259" s="59"/>
      <c r="K1259" s="59"/>
      <c r="L1259" s="59"/>
      <c r="M1259" s="59"/>
      <c r="N1259" s="21"/>
      <c r="O1259" s="59"/>
      <c r="P1259" s="59"/>
      <c r="Q1259" s="59"/>
      <c r="R1259" s="59"/>
      <c r="S1259" s="59"/>
      <c r="T1259" s="59"/>
      <c r="U1259" s="59"/>
      <c r="V1259" s="59"/>
      <c r="W1259" s="59"/>
      <c r="X1259" s="59"/>
      <c r="Y1259" s="59"/>
      <c r="Z1259" s="10"/>
      <c r="AA1259" s="74"/>
      <c r="AB1259" s="59"/>
      <c r="AC1259" s="9"/>
    </row>
    <row r="1260">
      <c r="A1260" s="9"/>
      <c r="B1260" s="19"/>
      <c r="C1260" s="9"/>
      <c r="D1260" s="9"/>
      <c r="E1260" s="59"/>
      <c r="F1260" s="9"/>
      <c r="G1260" s="9"/>
      <c r="H1260" s="59"/>
      <c r="I1260" s="59"/>
      <c r="J1260" s="59"/>
      <c r="K1260" s="59"/>
      <c r="L1260" s="59"/>
      <c r="M1260" s="59"/>
      <c r="N1260" s="21"/>
      <c r="O1260" s="59"/>
      <c r="P1260" s="59"/>
      <c r="Q1260" s="59"/>
      <c r="R1260" s="59"/>
      <c r="S1260" s="59"/>
      <c r="T1260" s="59"/>
      <c r="U1260" s="59"/>
      <c r="V1260" s="59"/>
      <c r="W1260" s="59"/>
      <c r="X1260" s="59"/>
      <c r="Y1260" s="59"/>
      <c r="Z1260" s="10"/>
      <c r="AA1260" s="74"/>
      <c r="AB1260" s="59"/>
      <c r="AC1260" s="9"/>
    </row>
    <row r="1261">
      <c r="A1261" s="9"/>
      <c r="B1261" s="19"/>
      <c r="C1261" s="9"/>
      <c r="D1261" s="9"/>
      <c r="E1261" s="59"/>
      <c r="F1261" s="9"/>
      <c r="G1261" s="9"/>
      <c r="H1261" s="59"/>
      <c r="I1261" s="59"/>
      <c r="J1261" s="59"/>
      <c r="K1261" s="59"/>
      <c r="L1261" s="59"/>
      <c r="M1261" s="59"/>
      <c r="N1261" s="21"/>
      <c r="O1261" s="59"/>
      <c r="P1261" s="59"/>
      <c r="Q1261" s="59"/>
      <c r="R1261" s="59"/>
      <c r="S1261" s="59"/>
      <c r="T1261" s="59"/>
      <c r="U1261" s="59"/>
      <c r="V1261" s="59"/>
      <c r="W1261" s="59"/>
      <c r="X1261" s="59"/>
      <c r="Y1261" s="59"/>
      <c r="Z1261" s="10"/>
      <c r="AA1261" s="74"/>
      <c r="AB1261" s="59"/>
      <c r="AC1261" s="9"/>
    </row>
    <row r="1262">
      <c r="A1262" s="9"/>
      <c r="B1262" s="19"/>
      <c r="C1262" s="9"/>
      <c r="D1262" s="9"/>
      <c r="E1262" s="59"/>
      <c r="F1262" s="9"/>
      <c r="G1262" s="9"/>
      <c r="H1262" s="59"/>
      <c r="I1262" s="59"/>
      <c r="J1262" s="59"/>
      <c r="K1262" s="59"/>
      <c r="L1262" s="59"/>
      <c r="M1262" s="59"/>
      <c r="N1262" s="21"/>
      <c r="O1262" s="59"/>
      <c r="P1262" s="59"/>
      <c r="Q1262" s="59"/>
      <c r="R1262" s="59"/>
      <c r="S1262" s="59"/>
      <c r="T1262" s="59"/>
      <c r="U1262" s="59"/>
      <c r="V1262" s="59"/>
      <c r="W1262" s="59"/>
      <c r="X1262" s="59"/>
      <c r="Y1262" s="59"/>
      <c r="Z1262" s="10"/>
      <c r="AA1262" s="74"/>
      <c r="AB1262" s="59"/>
      <c r="AC1262" s="9"/>
    </row>
    <row r="1263">
      <c r="A1263" s="9"/>
      <c r="B1263" s="19"/>
      <c r="C1263" s="9"/>
      <c r="D1263" s="9"/>
      <c r="E1263" s="59"/>
      <c r="F1263" s="9"/>
      <c r="G1263" s="9"/>
      <c r="H1263" s="59"/>
      <c r="I1263" s="59"/>
      <c r="J1263" s="59"/>
      <c r="K1263" s="59"/>
      <c r="L1263" s="59"/>
      <c r="M1263" s="59"/>
      <c r="N1263" s="21"/>
      <c r="O1263" s="59"/>
      <c r="P1263" s="59"/>
      <c r="Q1263" s="59"/>
      <c r="R1263" s="59"/>
      <c r="S1263" s="59"/>
      <c r="T1263" s="59"/>
      <c r="U1263" s="59"/>
      <c r="V1263" s="59"/>
      <c r="W1263" s="59"/>
      <c r="X1263" s="59"/>
      <c r="Y1263" s="59"/>
      <c r="Z1263" s="10"/>
      <c r="AA1263" s="74"/>
      <c r="AB1263" s="59"/>
      <c r="AC1263" s="9"/>
    </row>
    <row r="1264">
      <c r="A1264" s="9"/>
      <c r="B1264" s="19"/>
      <c r="C1264" s="9"/>
      <c r="D1264" s="9"/>
      <c r="E1264" s="59"/>
      <c r="F1264" s="9"/>
      <c r="G1264" s="9"/>
      <c r="H1264" s="59"/>
      <c r="I1264" s="59"/>
      <c r="J1264" s="59"/>
      <c r="K1264" s="59"/>
      <c r="L1264" s="59"/>
      <c r="M1264" s="59"/>
      <c r="N1264" s="21"/>
      <c r="O1264" s="59"/>
      <c r="P1264" s="59"/>
      <c r="Q1264" s="59"/>
      <c r="R1264" s="59"/>
      <c r="S1264" s="59"/>
      <c r="T1264" s="59"/>
      <c r="U1264" s="59"/>
      <c r="V1264" s="59"/>
      <c r="W1264" s="59"/>
      <c r="X1264" s="59"/>
      <c r="Y1264" s="59"/>
      <c r="Z1264" s="10"/>
      <c r="AA1264" s="74"/>
      <c r="AB1264" s="59"/>
      <c r="AC1264" s="9"/>
    </row>
    <row r="1265">
      <c r="A1265" s="9"/>
      <c r="B1265" s="19"/>
      <c r="C1265" s="9"/>
      <c r="D1265" s="9"/>
      <c r="E1265" s="59"/>
      <c r="F1265" s="9"/>
      <c r="G1265" s="9"/>
      <c r="H1265" s="59"/>
      <c r="I1265" s="59"/>
      <c r="J1265" s="59"/>
      <c r="K1265" s="59"/>
      <c r="L1265" s="59"/>
      <c r="M1265" s="59"/>
      <c r="N1265" s="21"/>
      <c r="O1265" s="59"/>
      <c r="P1265" s="59"/>
      <c r="Q1265" s="59"/>
      <c r="R1265" s="59"/>
      <c r="S1265" s="59"/>
      <c r="T1265" s="59"/>
      <c r="U1265" s="59"/>
      <c r="V1265" s="59"/>
      <c r="W1265" s="59"/>
      <c r="X1265" s="59"/>
      <c r="Y1265" s="59"/>
      <c r="Z1265" s="10"/>
      <c r="AA1265" s="74"/>
      <c r="AB1265" s="59"/>
      <c r="AC1265" s="9"/>
    </row>
    <row r="1266">
      <c r="A1266" s="9"/>
      <c r="B1266" s="19"/>
      <c r="C1266" s="9"/>
      <c r="D1266" s="9"/>
      <c r="E1266" s="59"/>
      <c r="F1266" s="9"/>
      <c r="G1266" s="9"/>
      <c r="H1266" s="59"/>
      <c r="I1266" s="59"/>
      <c r="J1266" s="59"/>
      <c r="K1266" s="59"/>
      <c r="L1266" s="59"/>
      <c r="M1266" s="59"/>
      <c r="N1266" s="21"/>
      <c r="O1266" s="59"/>
      <c r="P1266" s="59"/>
      <c r="Q1266" s="59"/>
      <c r="R1266" s="59"/>
      <c r="S1266" s="59"/>
      <c r="T1266" s="59"/>
      <c r="U1266" s="59"/>
      <c r="V1266" s="59"/>
      <c r="W1266" s="59"/>
      <c r="X1266" s="59"/>
      <c r="Y1266" s="59"/>
      <c r="Z1266" s="10"/>
      <c r="AA1266" s="74"/>
      <c r="AB1266" s="59"/>
      <c r="AC1266" s="9"/>
    </row>
    <row r="1267">
      <c r="A1267" s="9"/>
      <c r="B1267" s="19"/>
      <c r="C1267" s="9"/>
      <c r="D1267" s="9"/>
      <c r="E1267" s="59"/>
      <c r="F1267" s="9"/>
      <c r="G1267" s="9"/>
      <c r="H1267" s="59"/>
      <c r="I1267" s="59"/>
      <c r="J1267" s="59"/>
      <c r="K1267" s="59"/>
      <c r="L1267" s="59"/>
      <c r="M1267" s="59"/>
      <c r="N1267" s="21"/>
      <c r="O1267" s="59"/>
      <c r="P1267" s="59"/>
      <c r="Q1267" s="59"/>
      <c r="R1267" s="59"/>
      <c r="S1267" s="59"/>
      <c r="T1267" s="59"/>
      <c r="U1267" s="59"/>
      <c r="V1267" s="59"/>
      <c r="W1267" s="59"/>
      <c r="X1267" s="59"/>
      <c r="Y1267" s="59"/>
      <c r="Z1267" s="10"/>
      <c r="AA1267" s="74"/>
      <c r="AB1267" s="59"/>
      <c r="AC1267" s="9"/>
    </row>
    <row r="1268">
      <c r="A1268" s="9"/>
      <c r="B1268" s="19"/>
      <c r="C1268" s="9"/>
      <c r="D1268" s="9"/>
      <c r="E1268" s="59"/>
      <c r="F1268" s="9"/>
      <c r="G1268" s="9"/>
      <c r="H1268" s="59"/>
      <c r="I1268" s="59"/>
      <c r="J1268" s="59"/>
      <c r="K1268" s="59"/>
      <c r="L1268" s="59"/>
      <c r="M1268" s="59"/>
      <c r="N1268" s="21"/>
      <c r="O1268" s="59"/>
      <c r="P1268" s="59"/>
      <c r="Q1268" s="59"/>
      <c r="R1268" s="59"/>
      <c r="S1268" s="59"/>
      <c r="T1268" s="59"/>
      <c r="U1268" s="59"/>
      <c r="V1268" s="59"/>
      <c r="W1268" s="59"/>
      <c r="X1268" s="59"/>
      <c r="Y1268" s="59"/>
      <c r="Z1268" s="10"/>
      <c r="AA1268" s="74"/>
      <c r="AB1268" s="59"/>
      <c r="AC1268" s="9"/>
    </row>
    <row r="1269">
      <c r="A1269" s="9"/>
      <c r="B1269" s="19"/>
      <c r="C1269" s="9"/>
      <c r="D1269" s="9"/>
      <c r="E1269" s="59"/>
      <c r="F1269" s="9"/>
      <c r="G1269" s="9"/>
      <c r="H1269" s="59"/>
      <c r="I1269" s="59"/>
      <c r="J1269" s="59"/>
      <c r="K1269" s="59"/>
      <c r="L1269" s="59"/>
      <c r="M1269" s="59"/>
      <c r="N1269" s="21"/>
      <c r="O1269" s="59"/>
      <c r="P1269" s="59"/>
      <c r="Q1269" s="59"/>
      <c r="R1269" s="59"/>
      <c r="S1269" s="59"/>
      <c r="T1269" s="59"/>
      <c r="U1269" s="59"/>
      <c r="V1269" s="59"/>
      <c r="W1269" s="59"/>
      <c r="X1269" s="59"/>
      <c r="Y1269" s="59"/>
      <c r="Z1269" s="10"/>
      <c r="AA1269" s="74"/>
      <c r="AB1269" s="59"/>
      <c r="AC1269" s="9"/>
    </row>
    <row r="1270">
      <c r="A1270" s="9"/>
      <c r="B1270" s="19"/>
      <c r="C1270" s="9"/>
      <c r="D1270" s="9"/>
      <c r="E1270" s="59"/>
      <c r="F1270" s="9"/>
      <c r="G1270" s="9"/>
      <c r="H1270" s="59"/>
      <c r="I1270" s="59"/>
      <c r="J1270" s="59"/>
      <c r="K1270" s="59"/>
      <c r="L1270" s="59"/>
      <c r="M1270" s="59"/>
      <c r="N1270" s="21"/>
      <c r="O1270" s="59"/>
      <c r="P1270" s="59"/>
      <c r="Q1270" s="59"/>
      <c r="R1270" s="59"/>
      <c r="S1270" s="59"/>
      <c r="T1270" s="59"/>
      <c r="U1270" s="59"/>
      <c r="V1270" s="59"/>
      <c r="W1270" s="59"/>
      <c r="X1270" s="59"/>
      <c r="Y1270" s="59"/>
      <c r="Z1270" s="10"/>
      <c r="AA1270" s="74"/>
      <c r="AB1270" s="59"/>
      <c r="AC1270" s="9"/>
    </row>
    <row r="1271">
      <c r="A1271" s="9"/>
      <c r="B1271" s="19"/>
      <c r="C1271" s="9"/>
      <c r="D1271" s="9"/>
      <c r="E1271" s="59"/>
      <c r="F1271" s="9"/>
      <c r="G1271" s="9"/>
      <c r="H1271" s="59"/>
      <c r="I1271" s="59"/>
      <c r="J1271" s="59"/>
      <c r="K1271" s="59"/>
      <c r="L1271" s="59"/>
      <c r="M1271" s="59"/>
      <c r="N1271" s="21"/>
      <c r="O1271" s="59"/>
      <c r="P1271" s="59"/>
      <c r="Q1271" s="59"/>
      <c r="R1271" s="59"/>
      <c r="S1271" s="59"/>
      <c r="T1271" s="59"/>
      <c r="U1271" s="59"/>
      <c r="V1271" s="59"/>
      <c r="W1271" s="59"/>
      <c r="X1271" s="59"/>
      <c r="Y1271" s="59"/>
      <c r="Z1271" s="10"/>
      <c r="AA1271" s="74"/>
      <c r="AB1271" s="59"/>
      <c r="AC1271" s="9"/>
    </row>
    <row r="1272">
      <c r="A1272" s="9"/>
      <c r="B1272" s="19"/>
      <c r="C1272" s="9"/>
      <c r="D1272" s="9"/>
      <c r="E1272" s="59"/>
      <c r="F1272" s="9"/>
      <c r="G1272" s="9"/>
      <c r="H1272" s="59"/>
      <c r="I1272" s="59"/>
      <c r="J1272" s="59"/>
      <c r="K1272" s="59"/>
      <c r="L1272" s="59"/>
      <c r="M1272" s="59"/>
      <c r="N1272" s="21"/>
      <c r="O1272" s="59"/>
      <c r="P1272" s="59"/>
      <c r="Q1272" s="59"/>
      <c r="R1272" s="59"/>
      <c r="S1272" s="59"/>
      <c r="T1272" s="59"/>
      <c r="U1272" s="59"/>
      <c r="V1272" s="59"/>
      <c r="W1272" s="59"/>
      <c r="X1272" s="59"/>
      <c r="Y1272" s="59"/>
      <c r="Z1272" s="10"/>
      <c r="AA1272" s="74"/>
      <c r="AB1272" s="59"/>
      <c r="AC1272" s="9"/>
    </row>
    <row r="1273">
      <c r="A1273" s="9"/>
      <c r="B1273" s="19"/>
      <c r="C1273" s="9"/>
      <c r="D1273" s="9"/>
      <c r="E1273" s="59"/>
      <c r="F1273" s="9"/>
      <c r="G1273" s="9"/>
      <c r="H1273" s="59"/>
      <c r="I1273" s="59"/>
      <c r="J1273" s="59"/>
      <c r="K1273" s="59"/>
      <c r="L1273" s="59"/>
      <c r="M1273" s="59"/>
      <c r="N1273" s="21"/>
      <c r="O1273" s="59"/>
      <c r="P1273" s="59"/>
      <c r="Q1273" s="59"/>
      <c r="R1273" s="59"/>
      <c r="S1273" s="59"/>
      <c r="T1273" s="59"/>
      <c r="U1273" s="59"/>
      <c r="V1273" s="59"/>
      <c r="W1273" s="59"/>
      <c r="X1273" s="59"/>
      <c r="Y1273" s="59"/>
      <c r="Z1273" s="10"/>
      <c r="AA1273" s="74"/>
      <c r="AB1273" s="59"/>
      <c r="AC1273" s="9"/>
    </row>
    <row r="1274">
      <c r="A1274" s="9"/>
      <c r="B1274" s="19"/>
      <c r="C1274" s="9"/>
      <c r="D1274" s="9"/>
      <c r="E1274" s="59"/>
      <c r="F1274" s="9"/>
      <c r="G1274" s="9"/>
      <c r="H1274" s="59"/>
      <c r="I1274" s="59"/>
      <c r="J1274" s="59"/>
      <c r="K1274" s="59"/>
      <c r="L1274" s="59"/>
      <c r="M1274" s="59"/>
      <c r="N1274" s="21"/>
      <c r="O1274" s="59"/>
      <c r="P1274" s="59"/>
      <c r="Q1274" s="59"/>
      <c r="R1274" s="59"/>
      <c r="S1274" s="59"/>
      <c r="T1274" s="59"/>
      <c r="U1274" s="59"/>
      <c r="V1274" s="59"/>
      <c r="W1274" s="59"/>
      <c r="X1274" s="59"/>
      <c r="Y1274" s="59"/>
      <c r="Z1274" s="10"/>
      <c r="AA1274" s="74"/>
      <c r="AB1274" s="59"/>
      <c r="AC1274" s="9"/>
    </row>
    <row r="1275">
      <c r="A1275" s="9"/>
      <c r="B1275" s="19"/>
      <c r="C1275" s="9"/>
      <c r="D1275" s="9"/>
      <c r="E1275" s="59"/>
      <c r="F1275" s="9"/>
      <c r="G1275" s="9"/>
      <c r="H1275" s="59"/>
      <c r="I1275" s="59"/>
      <c r="J1275" s="59"/>
      <c r="K1275" s="59"/>
      <c r="L1275" s="59"/>
      <c r="M1275" s="59"/>
      <c r="N1275" s="21"/>
      <c r="O1275" s="59"/>
      <c r="P1275" s="59"/>
      <c r="Q1275" s="59"/>
      <c r="R1275" s="59"/>
      <c r="S1275" s="59"/>
      <c r="T1275" s="59"/>
      <c r="U1275" s="59"/>
      <c r="V1275" s="59"/>
      <c r="W1275" s="59"/>
      <c r="X1275" s="59"/>
      <c r="Y1275" s="59"/>
      <c r="Z1275" s="10"/>
      <c r="AA1275" s="74"/>
      <c r="AB1275" s="59"/>
      <c r="AC1275" s="9"/>
    </row>
    <row r="1276">
      <c r="A1276" s="9"/>
      <c r="B1276" s="19"/>
      <c r="C1276" s="9"/>
      <c r="D1276" s="9"/>
      <c r="E1276" s="59"/>
      <c r="F1276" s="9"/>
      <c r="G1276" s="9"/>
      <c r="H1276" s="59"/>
      <c r="I1276" s="59"/>
      <c r="J1276" s="59"/>
      <c r="K1276" s="59"/>
      <c r="L1276" s="59"/>
      <c r="M1276" s="59"/>
      <c r="N1276" s="21"/>
      <c r="O1276" s="59"/>
      <c r="P1276" s="59"/>
      <c r="Q1276" s="59"/>
      <c r="R1276" s="59"/>
      <c r="S1276" s="59"/>
      <c r="T1276" s="59"/>
      <c r="U1276" s="59"/>
      <c r="V1276" s="59"/>
      <c r="W1276" s="59"/>
      <c r="X1276" s="59"/>
      <c r="Y1276" s="59"/>
      <c r="Z1276" s="10"/>
      <c r="AA1276" s="74"/>
      <c r="AB1276" s="59"/>
      <c r="AC1276" s="9"/>
    </row>
    <row r="1277">
      <c r="A1277" s="9"/>
      <c r="B1277" s="19"/>
      <c r="C1277" s="9"/>
      <c r="D1277" s="9"/>
      <c r="E1277" s="59"/>
      <c r="F1277" s="9"/>
      <c r="G1277" s="9"/>
      <c r="H1277" s="59"/>
      <c r="I1277" s="59"/>
      <c r="J1277" s="59"/>
      <c r="K1277" s="59"/>
      <c r="L1277" s="59"/>
      <c r="M1277" s="59"/>
      <c r="N1277" s="21"/>
      <c r="O1277" s="59"/>
      <c r="P1277" s="59"/>
      <c r="Q1277" s="59"/>
      <c r="R1277" s="59"/>
      <c r="S1277" s="59"/>
      <c r="T1277" s="59"/>
      <c r="U1277" s="59"/>
      <c r="V1277" s="59"/>
      <c r="W1277" s="59"/>
      <c r="X1277" s="59"/>
      <c r="Y1277" s="59"/>
      <c r="Z1277" s="10"/>
      <c r="AA1277" s="74"/>
      <c r="AB1277" s="59"/>
      <c r="AC1277" s="9"/>
    </row>
    <row r="1278">
      <c r="A1278" s="9"/>
      <c r="B1278" s="19"/>
      <c r="C1278" s="9"/>
      <c r="D1278" s="9"/>
      <c r="E1278" s="59"/>
      <c r="F1278" s="9"/>
      <c r="G1278" s="9"/>
      <c r="H1278" s="59"/>
      <c r="I1278" s="59"/>
      <c r="J1278" s="59"/>
      <c r="K1278" s="59"/>
      <c r="L1278" s="59"/>
      <c r="M1278" s="59"/>
      <c r="N1278" s="21"/>
      <c r="O1278" s="59"/>
      <c r="P1278" s="59"/>
      <c r="Q1278" s="59"/>
      <c r="R1278" s="59"/>
      <c r="S1278" s="59"/>
      <c r="T1278" s="59"/>
      <c r="U1278" s="59"/>
      <c r="V1278" s="59"/>
      <c r="W1278" s="59"/>
      <c r="X1278" s="59"/>
      <c r="Y1278" s="59"/>
      <c r="Z1278" s="10"/>
      <c r="AA1278" s="74"/>
      <c r="AB1278" s="59"/>
      <c r="AC1278" s="9"/>
    </row>
    <row r="1279">
      <c r="A1279" s="9"/>
      <c r="B1279" s="19"/>
      <c r="C1279" s="9"/>
      <c r="D1279" s="9"/>
      <c r="E1279" s="59"/>
      <c r="F1279" s="9"/>
      <c r="G1279" s="9"/>
      <c r="H1279" s="59"/>
      <c r="I1279" s="59"/>
      <c r="J1279" s="59"/>
      <c r="K1279" s="59"/>
      <c r="L1279" s="59"/>
      <c r="M1279" s="59"/>
      <c r="N1279" s="21"/>
      <c r="O1279" s="59"/>
      <c r="P1279" s="59"/>
      <c r="Q1279" s="59"/>
      <c r="R1279" s="59"/>
      <c r="S1279" s="59"/>
      <c r="T1279" s="59"/>
      <c r="U1279" s="59"/>
      <c r="V1279" s="59"/>
      <c r="W1279" s="59"/>
      <c r="X1279" s="59"/>
      <c r="Y1279" s="59"/>
      <c r="Z1279" s="10"/>
      <c r="AA1279" s="74"/>
      <c r="AB1279" s="59"/>
      <c r="AC1279" s="9"/>
    </row>
    <row r="1280">
      <c r="A1280" s="9"/>
      <c r="B1280" s="19"/>
      <c r="C1280" s="9"/>
      <c r="D1280" s="9"/>
      <c r="E1280" s="59"/>
      <c r="F1280" s="9"/>
      <c r="G1280" s="9"/>
      <c r="H1280" s="59"/>
      <c r="I1280" s="59"/>
      <c r="J1280" s="59"/>
      <c r="K1280" s="59"/>
      <c r="L1280" s="59"/>
      <c r="M1280" s="59"/>
      <c r="N1280" s="21"/>
      <c r="O1280" s="59"/>
      <c r="P1280" s="59"/>
      <c r="Q1280" s="59"/>
      <c r="R1280" s="59"/>
      <c r="S1280" s="59"/>
      <c r="T1280" s="59"/>
      <c r="U1280" s="59"/>
      <c r="V1280" s="59"/>
      <c r="W1280" s="59"/>
      <c r="X1280" s="59"/>
      <c r="Y1280" s="59"/>
      <c r="Z1280" s="10"/>
      <c r="AA1280" s="74"/>
      <c r="AB1280" s="59"/>
      <c r="AC1280" s="9"/>
    </row>
    <row r="1281">
      <c r="A1281" s="9"/>
      <c r="B1281" s="19"/>
      <c r="C1281" s="9"/>
      <c r="D1281" s="9"/>
      <c r="E1281" s="59"/>
      <c r="F1281" s="9"/>
      <c r="G1281" s="9"/>
      <c r="H1281" s="59"/>
      <c r="I1281" s="59"/>
      <c r="J1281" s="59"/>
      <c r="K1281" s="59"/>
      <c r="L1281" s="59"/>
      <c r="M1281" s="59"/>
      <c r="N1281" s="21"/>
      <c r="O1281" s="59"/>
      <c r="P1281" s="59"/>
      <c r="Q1281" s="59"/>
      <c r="R1281" s="59"/>
      <c r="S1281" s="59"/>
      <c r="T1281" s="59"/>
      <c r="U1281" s="59"/>
      <c r="V1281" s="59"/>
      <c r="W1281" s="59"/>
      <c r="X1281" s="59"/>
      <c r="Y1281" s="59"/>
      <c r="Z1281" s="10"/>
      <c r="AA1281" s="74"/>
      <c r="AB1281" s="59"/>
      <c r="AC1281" s="9"/>
    </row>
    <row r="1282">
      <c r="A1282" s="9"/>
      <c r="B1282" s="19"/>
      <c r="C1282" s="9"/>
      <c r="D1282" s="9"/>
      <c r="E1282" s="59"/>
      <c r="F1282" s="9"/>
      <c r="G1282" s="9"/>
      <c r="H1282" s="59"/>
      <c r="I1282" s="59"/>
      <c r="J1282" s="59"/>
      <c r="K1282" s="59"/>
      <c r="L1282" s="59"/>
      <c r="M1282" s="59"/>
      <c r="N1282" s="21"/>
      <c r="O1282" s="59"/>
      <c r="P1282" s="59"/>
      <c r="Q1282" s="59"/>
      <c r="R1282" s="59"/>
      <c r="S1282" s="59"/>
      <c r="T1282" s="59"/>
      <c r="U1282" s="59"/>
      <c r="V1282" s="59"/>
      <c r="W1282" s="59"/>
      <c r="X1282" s="59"/>
      <c r="Y1282" s="59"/>
      <c r="Z1282" s="10"/>
      <c r="AA1282" s="74"/>
      <c r="AB1282" s="59"/>
      <c r="AC1282" s="9"/>
    </row>
    <row r="1283">
      <c r="A1283" s="9"/>
      <c r="B1283" s="19"/>
      <c r="C1283" s="9"/>
      <c r="D1283" s="9"/>
      <c r="E1283" s="59"/>
      <c r="F1283" s="9"/>
      <c r="G1283" s="9"/>
      <c r="H1283" s="59"/>
      <c r="I1283" s="59"/>
      <c r="J1283" s="59"/>
      <c r="K1283" s="59"/>
      <c r="L1283" s="59"/>
      <c r="M1283" s="59"/>
      <c r="N1283" s="21"/>
      <c r="O1283" s="59"/>
      <c r="P1283" s="59"/>
      <c r="Q1283" s="59"/>
      <c r="R1283" s="59"/>
      <c r="S1283" s="59"/>
      <c r="T1283" s="59"/>
      <c r="U1283" s="59"/>
      <c r="V1283" s="59"/>
      <c r="W1283" s="59"/>
      <c r="X1283" s="59"/>
      <c r="Y1283" s="59"/>
      <c r="Z1283" s="10"/>
      <c r="AA1283" s="74"/>
      <c r="AB1283" s="59"/>
      <c r="AC1283" s="9"/>
    </row>
    <row r="1284">
      <c r="A1284" s="9"/>
      <c r="B1284" s="19"/>
      <c r="C1284" s="9"/>
      <c r="D1284" s="9"/>
      <c r="E1284" s="59"/>
      <c r="F1284" s="9"/>
      <c r="G1284" s="9"/>
      <c r="H1284" s="59"/>
      <c r="I1284" s="59"/>
      <c r="J1284" s="59"/>
      <c r="K1284" s="59"/>
      <c r="L1284" s="59"/>
      <c r="M1284" s="59"/>
      <c r="N1284" s="21"/>
      <c r="O1284" s="59"/>
      <c r="P1284" s="59"/>
      <c r="Q1284" s="59"/>
      <c r="R1284" s="59"/>
      <c r="S1284" s="59"/>
      <c r="T1284" s="59"/>
      <c r="U1284" s="59"/>
      <c r="V1284" s="59"/>
      <c r="W1284" s="59"/>
      <c r="X1284" s="59"/>
      <c r="Y1284" s="59"/>
      <c r="Z1284" s="10"/>
      <c r="AA1284" s="74"/>
      <c r="AB1284" s="59"/>
      <c r="AC1284" s="9"/>
    </row>
    <row r="1285">
      <c r="A1285" s="9"/>
      <c r="B1285" s="19"/>
      <c r="C1285" s="9"/>
      <c r="D1285" s="9"/>
      <c r="E1285" s="59"/>
      <c r="F1285" s="9"/>
      <c r="G1285" s="9"/>
      <c r="H1285" s="59"/>
      <c r="I1285" s="59"/>
      <c r="J1285" s="59"/>
      <c r="K1285" s="59"/>
      <c r="L1285" s="59"/>
      <c r="M1285" s="59"/>
      <c r="N1285" s="21"/>
      <c r="O1285" s="59"/>
      <c r="P1285" s="59"/>
      <c r="Q1285" s="59"/>
      <c r="R1285" s="59"/>
      <c r="S1285" s="59"/>
      <c r="T1285" s="59"/>
      <c r="U1285" s="59"/>
      <c r="V1285" s="59"/>
      <c r="W1285" s="59"/>
      <c r="X1285" s="59"/>
      <c r="Y1285" s="59"/>
      <c r="Z1285" s="10"/>
      <c r="AA1285" s="74"/>
      <c r="AB1285" s="59"/>
      <c r="AC1285" s="9"/>
    </row>
    <row r="1286">
      <c r="A1286" s="9"/>
      <c r="B1286" s="19"/>
      <c r="C1286" s="9"/>
      <c r="D1286" s="9"/>
      <c r="E1286" s="59"/>
      <c r="F1286" s="9"/>
      <c r="G1286" s="9"/>
      <c r="H1286" s="59"/>
      <c r="I1286" s="59"/>
      <c r="J1286" s="59"/>
      <c r="K1286" s="59"/>
      <c r="L1286" s="59"/>
      <c r="M1286" s="59"/>
      <c r="N1286" s="21"/>
      <c r="O1286" s="59"/>
      <c r="P1286" s="59"/>
      <c r="Q1286" s="59"/>
      <c r="R1286" s="59"/>
      <c r="S1286" s="59"/>
      <c r="T1286" s="59"/>
      <c r="U1286" s="59"/>
      <c r="V1286" s="59"/>
      <c r="W1286" s="59"/>
      <c r="X1286" s="59"/>
      <c r="Y1286" s="59"/>
      <c r="Z1286" s="10"/>
      <c r="AA1286" s="74"/>
      <c r="AB1286" s="59"/>
      <c r="AC1286" s="9"/>
    </row>
    <row r="1287">
      <c r="A1287" s="9"/>
      <c r="B1287" s="19"/>
      <c r="C1287" s="9"/>
      <c r="D1287" s="9"/>
      <c r="E1287" s="59"/>
      <c r="F1287" s="9"/>
      <c r="G1287" s="9"/>
      <c r="H1287" s="59"/>
      <c r="I1287" s="59"/>
      <c r="J1287" s="59"/>
      <c r="K1287" s="59"/>
      <c r="L1287" s="59"/>
      <c r="M1287" s="59"/>
      <c r="N1287" s="21"/>
      <c r="O1287" s="59"/>
      <c r="P1287" s="59"/>
      <c r="Q1287" s="59"/>
      <c r="R1287" s="59"/>
      <c r="S1287" s="59"/>
      <c r="T1287" s="59"/>
      <c r="U1287" s="59"/>
      <c r="V1287" s="59"/>
      <c r="W1287" s="59"/>
      <c r="X1287" s="59"/>
      <c r="Y1287" s="59"/>
      <c r="Z1287" s="10"/>
      <c r="AA1287" s="74"/>
      <c r="AB1287" s="59"/>
      <c r="AC1287" s="9"/>
    </row>
    <row r="1288">
      <c r="A1288" s="9"/>
      <c r="B1288" s="19"/>
      <c r="C1288" s="9"/>
      <c r="D1288" s="9"/>
      <c r="E1288" s="59"/>
      <c r="F1288" s="9"/>
      <c r="G1288" s="9"/>
      <c r="H1288" s="59"/>
      <c r="I1288" s="59"/>
      <c r="J1288" s="59"/>
      <c r="K1288" s="59"/>
      <c r="L1288" s="59"/>
      <c r="M1288" s="59"/>
      <c r="N1288" s="21"/>
      <c r="O1288" s="59"/>
      <c r="P1288" s="59"/>
      <c r="Q1288" s="59"/>
      <c r="R1288" s="59"/>
      <c r="S1288" s="59"/>
      <c r="T1288" s="59"/>
      <c r="U1288" s="59"/>
      <c r="V1288" s="59"/>
      <c r="W1288" s="59"/>
      <c r="X1288" s="59"/>
      <c r="Y1288" s="59"/>
      <c r="Z1288" s="10"/>
      <c r="AA1288" s="74"/>
      <c r="AB1288" s="59"/>
      <c r="AC1288" s="9"/>
    </row>
    <row r="1289">
      <c r="A1289" s="9"/>
      <c r="B1289" s="19"/>
      <c r="C1289" s="9"/>
      <c r="D1289" s="9"/>
      <c r="E1289" s="59"/>
      <c r="F1289" s="9"/>
      <c r="G1289" s="9"/>
      <c r="H1289" s="59"/>
      <c r="I1289" s="59"/>
      <c r="J1289" s="59"/>
      <c r="K1289" s="59"/>
      <c r="L1289" s="59"/>
      <c r="M1289" s="59"/>
      <c r="N1289" s="21"/>
      <c r="O1289" s="59"/>
      <c r="P1289" s="59"/>
      <c r="Q1289" s="59"/>
      <c r="R1289" s="59"/>
      <c r="S1289" s="59"/>
      <c r="T1289" s="59"/>
      <c r="U1289" s="59"/>
      <c r="V1289" s="59"/>
      <c r="W1289" s="59"/>
      <c r="X1289" s="59"/>
      <c r="Y1289" s="59"/>
      <c r="Z1289" s="10"/>
      <c r="AA1289" s="74"/>
      <c r="AB1289" s="59"/>
      <c r="AC1289" s="9"/>
    </row>
    <row r="1290">
      <c r="A1290" s="9"/>
      <c r="B1290" s="19"/>
      <c r="C1290" s="9"/>
      <c r="D1290" s="9"/>
      <c r="E1290" s="59"/>
      <c r="F1290" s="9"/>
      <c r="G1290" s="9"/>
      <c r="H1290" s="59"/>
      <c r="I1290" s="59"/>
      <c r="J1290" s="59"/>
      <c r="K1290" s="59"/>
      <c r="L1290" s="59"/>
      <c r="M1290" s="59"/>
      <c r="N1290" s="21"/>
      <c r="O1290" s="59"/>
      <c r="P1290" s="59"/>
      <c r="Q1290" s="59"/>
      <c r="R1290" s="59"/>
      <c r="S1290" s="59"/>
      <c r="T1290" s="59"/>
      <c r="U1290" s="59"/>
      <c r="V1290" s="59"/>
      <c r="W1290" s="59"/>
      <c r="X1290" s="59"/>
      <c r="Y1290" s="59"/>
      <c r="Z1290" s="10"/>
      <c r="AA1290" s="74"/>
      <c r="AB1290" s="59"/>
      <c r="AC1290" s="9"/>
    </row>
    <row r="1291">
      <c r="A1291" s="9"/>
      <c r="B1291" s="19"/>
      <c r="C1291" s="9"/>
      <c r="D1291" s="9"/>
      <c r="E1291" s="59"/>
      <c r="F1291" s="9"/>
      <c r="G1291" s="9"/>
      <c r="H1291" s="59"/>
      <c r="I1291" s="59"/>
      <c r="J1291" s="59"/>
      <c r="K1291" s="59"/>
      <c r="L1291" s="59"/>
      <c r="M1291" s="59"/>
      <c r="N1291" s="21"/>
      <c r="O1291" s="59"/>
      <c r="P1291" s="59"/>
      <c r="Q1291" s="59"/>
      <c r="R1291" s="59"/>
      <c r="S1291" s="59"/>
      <c r="T1291" s="59"/>
      <c r="U1291" s="59"/>
      <c r="V1291" s="59"/>
      <c r="W1291" s="59"/>
      <c r="X1291" s="59"/>
      <c r="Y1291" s="59"/>
      <c r="Z1291" s="10"/>
      <c r="AA1291" s="74"/>
      <c r="AB1291" s="59"/>
      <c r="AC1291" s="9"/>
    </row>
    <row r="1292">
      <c r="A1292" s="9"/>
      <c r="B1292" s="19"/>
      <c r="C1292" s="9"/>
      <c r="D1292" s="9"/>
      <c r="E1292" s="59"/>
      <c r="F1292" s="9"/>
      <c r="G1292" s="9"/>
      <c r="H1292" s="59"/>
      <c r="I1292" s="59"/>
      <c r="J1292" s="59"/>
      <c r="K1292" s="59"/>
      <c r="L1292" s="59"/>
      <c r="M1292" s="59"/>
      <c r="N1292" s="21"/>
      <c r="O1292" s="59"/>
      <c r="P1292" s="59"/>
      <c r="Q1292" s="59"/>
      <c r="R1292" s="59"/>
      <c r="S1292" s="59"/>
      <c r="T1292" s="59"/>
      <c r="U1292" s="59"/>
      <c r="V1292" s="59"/>
      <c r="W1292" s="59"/>
      <c r="X1292" s="59"/>
      <c r="Y1292" s="59"/>
      <c r="Z1292" s="10"/>
      <c r="AA1292" s="74"/>
      <c r="AB1292" s="59"/>
      <c r="AC1292" s="9"/>
    </row>
    <row r="1293">
      <c r="A1293" s="9"/>
      <c r="B1293" s="19"/>
      <c r="C1293" s="9"/>
      <c r="D1293" s="9"/>
      <c r="E1293" s="59"/>
      <c r="F1293" s="9"/>
      <c r="G1293" s="9"/>
      <c r="H1293" s="59"/>
      <c r="I1293" s="59"/>
      <c r="J1293" s="59"/>
      <c r="K1293" s="59"/>
      <c r="L1293" s="59"/>
      <c r="M1293" s="59"/>
      <c r="N1293" s="21"/>
      <c r="O1293" s="59"/>
      <c r="P1293" s="59"/>
      <c r="Q1293" s="59"/>
      <c r="R1293" s="59"/>
      <c r="S1293" s="59"/>
      <c r="T1293" s="59"/>
      <c r="U1293" s="59"/>
      <c r="V1293" s="59"/>
      <c r="W1293" s="59"/>
      <c r="X1293" s="59"/>
      <c r="Y1293" s="59"/>
      <c r="Z1293" s="10"/>
      <c r="AA1293" s="74"/>
      <c r="AB1293" s="59"/>
      <c r="AC1293" s="9"/>
    </row>
    <row r="1294">
      <c r="A1294" s="9"/>
      <c r="B1294" s="19"/>
      <c r="C1294" s="9"/>
      <c r="D1294" s="9"/>
      <c r="E1294" s="59"/>
      <c r="F1294" s="9"/>
      <c r="G1294" s="9"/>
      <c r="H1294" s="59"/>
      <c r="I1294" s="59"/>
      <c r="J1294" s="59"/>
      <c r="K1294" s="59"/>
      <c r="L1294" s="59"/>
      <c r="M1294" s="59"/>
      <c r="N1294" s="21"/>
      <c r="O1294" s="59"/>
      <c r="P1294" s="59"/>
      <c r="Q1294" s="59"/>
      <c r="R1294" s="59"/>
      <c r="S1294" s="59"/>
      <c r="T1294" s="59"/>
      <c r="U1294" s="59"/>
      <c r="V1294" s="59"/>
      <c r="W1294" s="59"/>
      <c r="X1294" s="59"/>
      <c r="Y1294" s="59"/>
      <c r="Z1294" s="10"/>
      <c r="AA1294" s="74"/>
      <c r="AB1294" s="59"/>
      <c r="AC1294" s="9"/>
    </row>
    <row r="1295">
      <c r="A1295" s="9"/>
      <c r="B1295" s="19"/>
      <c r="C1295" s="9"/>
      <c r="D1295" s="9"/>
      <c r="E1295" s="59"/>
      <c r="F1295" s="9"/>
      <c r="G1295" s="9"/>
      <c r="H1295" s="59"/>
      <c r="I1295" s="59"/>
      <c r="J1295" s="59"/>
      <c r="K1295" s="59"/>
      <c r="L1295" s="59"/>
      <c r="M1295" s="59"/>
      <c r="N1295" s="21"/>
      <c r="O1295" s="59"/>
      <c r="P1295" s="59"/>
      <c r="Q1295" s="59"/>
      <c r="R1295" s="59"/>
      <c r="S1295" s="59"/>
      <c r="T1295" s="59"/>
      <c r="U1295" s="59"/>
      <c r="V1295" s="59"/>
      <c r="W1295" s="59"/>
      <c r="X1295" s="59"/>
      <c r="Y1295" s="59"/>
      <c r="Z1295" s="10"/>
      <c r="AA1295" s="74"/>
      <c r="AB1295" s="59"/>
      <c r="AC1295" s="9"/>
    </row>
    <row r="1296">
      <c r="A1296" s="9"/>
      <c r="B1296" s="19"/>
      <c r="C1296" s="9"/>
      <c r="D1296" s="9"/>
      <c r="E1296" s="59"/>
      <c r="F1296" s="9"/>
      <c r="G1296" s="9"/>
      <c r="H1296" s="59"/>
      <c r="I1296" s="59"/>
      <c r="J1296" s="59"/>
      <c r="K1296" s="59"/>
      <c r="L1296" s="59"/>
      <c r="M1296" s="59"/>
      <c r="N1296" s="21"/>
      <c r="O1296" s="59"/>
      <c r="P1296" s="59"/>
      <c r="Q1296" s="59"/>
      <c r="R1296" s="59"/>
      <c r="S1296" s="59"/>
      <c r="T1296" s="59"/>
      <c r="U1296" s="59"/>
      <c r="V1296" s="59"/>
      <c r="W1296" s="59"/>
      <c r="X1296" s="59"/>
      <c r="Y1296" s="59"/>
      <c r="Z1296" s="10"/>
      <c r="AA1296" s="74"/>
      <c r="AB1296" s="59"/>
      <c r="AC1296" s="9"/>
    </row>
    <row r="1297">
      <c r="A1297" s="9"/>
      <c r="B1297" s="19"/>
      <c r="C1297" s="9"/>
      <c r="D1297" s="9"/>
      <c r="E1297" s="59"/>
      <c r="F1297" s="9"/>
      <c r="G1297" s="9"/>
      <c r="H1297" s="59"/>
      <c r="I1297" s="59"/>
      <c r="J1297" s="59"/>
      <c r="K1297" s="59"/>
      <c r="L1297" s="59"/>
      <c r="M1297" s="59"/>
      <c r="N1297" s="21"/>
      <c r="O1297" s="59"/>
      <c r="P1297" s="59"/>
      <c r="Q1297" s="59"/>
      <c r="R1297" s="59"/>
      <c r="S1297" s="59"/>
      <c r="T1297" s="59"/>
      <c r="U1297" s="59"/>
      <c r="V1297" s="59"/>
      <c r="W1297" s="59"/>
      <c r="X1297" s="59"/>
      <c r="Y1297" s="59"/>
      <c r="Z1297" s="10"/>
      <c r="AA1297" s="74"/>
      <c r="AB1297" s="59"/>
      <c r="AC1297" s="9"/>
    </row>
    <row r="1298">
      <c r="A1298" s="9"/>
      <c r="B1298" s="19"/>
      <c r="C1298" s="9"/>
      <c r="D1298" s="9"/>
      <c r="E1298" s="59"/>
      <c r="F1298" s="9"/>
      <c r="G1298" s="9"/>
      <c r="H1298" s="59"/>
      <c r="I1298" s="59"/>
      <c r="J1298" s="59"/>
      <c r="K1298" s="59"/>
      <c r="L1298" s="59"/>
      <c r="M1298" s="59"/>
      <c r="N1298" s="21"/>
      <c r="O1298" s="59"/>
      <c r="P1298" s="59"/>
      <c r="Q1298" s="59"/>
      <c r="R1298" s="59"/>
      <c r="S1298" s="59"/>
      <c r="T1298" s="59"/>
      <c r="U1298" s="59"/>
      <c r="V1298" s="59"/>
      <c r="W1298" s="59"/>
      <c r="X1298" s="59"/>
      <c r="Y1298" s="59"/>
      <c r="Z1298" s="10"/>
      <c r="AA1298" s="74"/>
      <c r="AB1298" s="59"/>
      <c r="AC1298" s="9"/>
    </row>
    <row r="1299">
      <c r="A1299" s="9"/>
      <c r="B1299" s="19"/>
      <c r="C1299" s="9"/>
      <c r="D1299" s="9"/>
      <c r="E1299" s="59"/>
      <c r="F1299" s="9"/>
      <c r="G1299" s="9"/>
      <c r="H1299" s="59"/>
      <c r="I1299" s="59"/>
      <c r="J1299" s="59"/>
      <c r="K1299" s="59"/>
      <c r="L1299" s="59"/>
      <c r="M1299" s="59"/>
      <c r="N1299" s="21"/>
      <c r="O1299" s="59"/>
      <c r="P1299" s="59"/>
      <c r="Q1299" s="59"/>
      <c r="R1299" s="59"/>
      <c r="S1299" s="59"/>
      <c r="T1299" s="59"/>
      <c r="U1299" s="59"/>
      <c r="V1299" s="59"/>
      <c r="W1299" s="59"/>
      <c r="X1299" s="59"/>
      <c r="Y1299" s="59"/>
      <c r="Z1299" s="10"/>
      <c r="AA1299" s="74"/>
      <c r="AB1299" s="59"/>
      <c r="AC1299" s="9"/>
    </row>
    <row r="1300">
      <c r="A1300" s="9"/>
      <c r="B1300" s="19"/>
      <c r="C1300" s="9"/>
      <c r="D1300" s="9"/>
      <c r="E1300" s="59"/>
      <c r="F1300" s="9"/>
      <c r="G1300" s="9"/>
      <c r="H1300" s="59"/>
      <c r="I1300" s="59"/>
      <c r="J1300" s="59"/>
      <c r="K1300" s="59"/>
      <c r="L1300" s="59"/>
      <c r="M1300" s="59"/>
      <c r="N1300" s="21"/>
      <c r="O1300" s="59"/>
      <c r="P1300" s="59"/>
      <c r="Q1300" s="59"/>
      <c r="R1300" s="59"/>
      <c r="S1300" s="59"/>
      <c r="T1300" s="59"/>
      <c r="U1300" s="59"/>
      <c r="V1300" s="59"/>
      <c r="W1300" s="59"/>
      <c r="X1300" s="59"/>
      <c r="Y1300" s="59"/>
      <c r="Z1300" s="10"/>
      <c r="AA1300" s="74"/>
      <c r="AB1300" s="59"/>
      <c r="AC1300" s="9"/>
    </row>
    <row r="1301">
      <c r="A1301" s="9"/>
      <c r="B1301" s="19"/>
      <c r="C1301" s="9"/>
      <c r="D1301" s="9"/>
      <c r="E1301" s="59"/>
      <c r="F1301" s="9"/>
      <c r="G1301" s="9"/>
      <c r="H1301" s="59"/>
      <c r="I1301" s="59"/>
      <c r="J1301" s="59"/>
      <c r="K1301" s="59"/>
      <c r="L1301" s="59"/>
      <c r="M1301" s="59"/>
      <c r="N1301" s="21"/>
      <c r="O1301" s="59"/>
      <c r="P1301" s="59"/>
      <c r="Q1301" s="59"/>
      <c r="R1301" s="59"/>
      <c r="S1301" s="59"/>
      <c r="T1301" s="59"/>
      <c r="U1301" s="59"/>
      <c r="V1301" s="59"/>
      <c r="W1301" s="59"/>
      <c r="X1301" s="59"/>
      <c r="Y1301" s="59"/>
      <c r="Z1301" s="10"/>
      <c r="AA1301" s="74"/>
      <c r="AB1301" s="59"/>
      <c r="AC1301" s="9"/>
    </row>
    <row r="1302">
      <c r="A1302" s="9"/>
      <c r="B1302" s="19"/>
      <c r="C1302" s="9"/>
      <c r="D1302" s="9"/>
      <c r="E1302" s="59"/>
      <c r="F1302" s="9"/>
      <c r="G1302" s="9"/>
      <c r="H1302" s="59"/>
      <c r="I1302" s="59"/>
      <c r="J1302" s="59"/>
      <c r="K1302" s="59"/>
      <c r="L1302" s="59"/>
      <c r="M1302" s="59"/>
      <c r="N1302" s="21"/>
      <c r="O1302" s="59"/>
      <c r="P1302" s="59"/>
      <c r="Q1302" s="59"/>
      <c r="R1302" s="59"/>
      <c r="S1302" s="59"/>
      <c r="T1302" s="59"/>
      <c r="U1302" s="59"/>
      <c r="V1302" s="59"/>
      <c r="W1302" s="59"/>
      <c r="X1302" s="59"/>
      <c r="Y1302" s="59"/>
      <c r="Z1302" s="10"/>
      <c r="AA1302" s="74"/>
      <c r="AB1302" s="59"/>
      <c r="AC1302" s="9"/>
    </row>
    <row r="1303">
      <c r="A1303" s="9"/>
      <c r="B1303" s="19"/>
      <c r="C1303" s="9"/>
      <c r="D1303" s="9"/>
      <c r="E1303" s="59"/>
      <c r="F1303" s="9"/>
      <c r="G1303" s="9"/>
      <c r="H1303" s="59"/>
      <c r="I1303" s="59"/>
      <c r="J1303" s="59"/>
      <c r="K1303" s="59"/>
      <c r="L1303" s="59"/>
      <c r="M1303" s="59"/>
      <c r="N1303" s="21"/>
      <c r="O1303" s="59"/>
      <c r="P1303" s="59"/>
      <c r="Q1303" s="59"/>
      <c r="R1303" s="59"/>
      <c r="S1303" s="59"/>
      <c r="T1303" s="59"/>
      <c r="U1303" s="59"/>
      <c r="V1303" s="59"/>
      <c r="W1303" s="59"/>
      <c r="X1303" s="59"/>
      <c r="Y1303" s="59"/>
      <c r="Z1303" s="10"/>
      <c r="AA1303" s="74"/>
      <c r="AB1303" s="59"/>
      <c r="AC1303" s="9"/>
    </row>
    <row r="1304">
      <c r="A1304" s="9"/>
      <c r="B1304" s="19"/>
      <c r="C1304" s="9"/>
      <c r="D1304" s="9"/>
      <c r="E1304" s="59"/>
      <c r="F1304" s="9"/>
      <c r="G1304" s="9"/>
      <c r="H1304" s="59"/>
      <c r="I1304" s="59"/>
      <c r="J1304" s="59"/>
      <c r="K1304" s="59"/>
      <c r="L1304" s="59"/>
      <c r="M1304" s="59"/>
      <c r="N1304" s="21"/>
      <c r="O1304" s="59"/>
      <c r="P1304" s="59"/>
      <c r="Q1304" s="59"/>
      <c r="R1304" s="59"/>
      <c r="S1304" s="59"/>
      <c r="T1304" s="59"/>
      <c r="U1304" s="59"/>
      <c r="V1304" s="59"/>
      <c r="W1304" s="59"/>
      <c r="X1304" s="59"/>
      <c r="Y1304" s="59"/>
      <c r="Z1304" s="10"/>
      <c r="AA1304" s="74"/>
      <c r="AB1304" s="59"/>
      <c r="AC1304" s="9"/>
    </row>
    <row r="1305">
      <c r="A1305" s="9"/>
      <c r="B1305" s="19"/>
      <c r="C1305" s="9"/>
      <c r="D1305" s="9"/>
      <c r="E1305" s="59"/>
      <c r="F1305" s="9"/>
      <c r="G1305" s="9"/>
      <c r="H1305" s="59"/>
      <c r="I1305" s="59"/>
      <c r="J1305" s="59"/>
      <c r="K1305" s="59"/>
      <c r="L1305" s="59"/>
      <c r="M1305" s="59"/>
      <c r="N1305" s="21"/>
      <c r="O1305" s="59"/>
      <c r="P1305" s="59"/>
      <c r="Q1305" s="59"/>
      <c r="R1305" s="59"/>
      <c r="S1305" s="59"/>
      <c r="T1305" s="59"/>
      <c r="U1305" s="59"/>
      <c r="V1305" s="59"/>
      <c r="W1305" s="59"/>
      <c r="X1305" s="59"/>
      <c r="Y1305" s="59"/>
      <c r="Z1305" s="10"/>
      <c r="AA1305" s="74"/>
      <c r="AB1305" s="59"/>
      <c r="AC1305" s="9"/>
    </row>
    <row r="1306">
      <c r="A1306" s="9"/>
      <c r="B1306" s="19"/>
      <c r="C1306" s="9"/>
      <c r="D1306" s="9"/>
      <c r="E1306" s="59"/>
      <c r="F1306" s="9"/>
      <c r="G1306" s="9"/>
      <c r="H1306" s="59"/>
      <c r="I1306" s="59"/>
      <c r="J1306" s="59"/>
      <c r="K1306" s="59"/>
      <c r="L1306" s="59"/>
      <c r="M1306" s="59"/>
      <c r="N1306" s="21"/>
      <c r="O1306" s="59"/>
      <c r="P1306" s="59"/>
      <c r="Q1306" s="59"/>
      <c r="R1306" s="59"/>
      <c r="S1306" s="59"/>
      <c r="T1306" s="59"/>
      <c r="U1306" s="59"/>
      <c r="V1306" s="59"/>
      <c r="W1306" s="59"/>
      <c r="X1306" s="59"/>
      <c r="Y1306" s="59"/>
      <c r="Z1306" s="10"/>
      <c r="AA1306" s="74"/>
      <c r="AB1306" s="59"/>
      <c r="AC1306" s="9"/>
    </row>
    <row r="1307">
      <c r="A1307" s="9"/>
      <c r="B1307" s="19"/>
      <c r="C1307" s="9"/>
      <c r="D1307" s="9"/>
      <c r="E1307" s="59"/>
      <c r="F1307" s="9"/>
      <c r="G1307" s="9"/>
      <c r="H1307" s="59"/>
      <c r="I1307" s="59"/>
      <c r="J1307" s="59"/>
      <c r="K1307" s="59"/>
      <c r="L1307" s="59"/>
      <c r="M1307" s="59"/>
      <c r="N1307" s="21"/>
      <c r="O1307" s="59"/>
      <c r="P1307" s="59"/>
      <c r="Q1307" s="59"/>
      <c r="R1307" s="59"/>
      <c r="S1307" s="59"/>
      <c r="T1307" s="59"/>
      <c r="U1307" s="59"/>
      <c r="V1307" s="59"/>
      <c r="W1307" s="59"/>
      <c r="X1307" s="59"/>
      <c r="Y1307" s="59"/>
      <c r="Z1307" s="10"/>
      <c r="AA1307" s="74"/>
      <c r="AB1307" s="59"/>
      <c r="AC1307" s="9"/>
    </row>
    <row r="1308">
      <c r="A1308" s="9"/>
      <c r="B1308" s="19"/>
      <c r="C1308" s="9"/>
      <c r="D1308" s="9"/>
      <c r="E1308" s="59"/>
      <c r="F1308" s="9"/>
      <c r="G1308" s="9"/>
      <c r="H1308" s="59"/>
      <c r="I1308" s="59"/>
      <c r="J1308" s="59"/>
      <c r="K1308" s="59"/>
      <c r="L1308" s="59"/>
      <c r="M1308" s="59"/>
      <c r="N1308" s="21"/>
      <c r="O1308" s="59"/>
      <c r="P1308" s="59"/>
      <c r="Q1308" s="59"/>
      <c r="R1308" s="59"/>
      <c r="S1308" s="59"/>
      <c r="T1308" s="59"/>
      <c r="U1308" s="59"/>
      <c r="V1308" s="59"/>
      <c r="W1308" s="59"/>
      <c r="X1308" s="59"/>
      <c r="Y1308" s="59"/>
      <c r="Z1308" s="10"/>
      <c r="AA1308" s="74"/>
      <c r="AB1308" s="59"/>
      <c r="AC1308" s="9"/>
    </row>
    <row r="1309">
      <c r="A1309" s="9"/>
      <c r="B1309" s="19"/>
      <c r="C1309" s="9"/>
      <c r="D1309" s="9"/>
      <c r="E1309" s="59"/>
      <c r="F1309" s="9"/>
      <c r="G1309" s="9"/>
      <c r="H1309" s="59"/>
      <c r="I1309" s="59"/>
      <c r="J1309" s="59"/>
      <c r="K1309" s="59"/>
      <c r="L1309" s="59"/>
      <c r="M1309" s="59"/>
      <c r="N1309" s="21"/>
      <c r="O1309" s="59"/>
      <c r="P1309" s="59"/>
      <c r="Q1309" s="59"/>
      <c r="R1309" s="59"/>
      <c r="S1309" s="59"/>
      <c r="T1309" s="59"/>
      <c r="U1309" s="59"/>
      <c r="V1309" s="59"/>
      <c r="W1309" s="59"/>
      <c r="X1309" s="59"/>
      <c r="Y1309" s="59"/>
      <c r="Z1309" s="10"/>
      <c r="AA1309" s="74"/>
      <c r="AB1309" s="59"/>
      <c r="AC1309" s="9"/>
    </row>
    <row r="1310">
      <c r="A1310" s="9"/>
      <c r="B1310" s="19"/>
      <c r="C1310" s="9"/>
      <c r="D1310" s="9"/>
      <c r="E1310" s="59"/>
      <c r="F1310" s="9"/>
      <c r="G1310" s="9"/>
      <c r="H1310" s="59"/>
      <c r="I1310" s="59"/>
      <c r="J1310" s="59"/>
      <c r="K1310" s="59"/>
      <c r="L1310" s="59"/>
      <c r="M1310" s="59"/>
      <c r="N1310" s="21"/>
      <c r="O1310" s="59"/>
      <c r="P1310" s="59"/>
      <c r="Q1310" s="59"/>
      <c r="R1310" s="59"/>
      <c r="S1310" s="59"/>
      <c r="T1310" s="59"/>
      <c r="U1310" s="59"/>
      <c r="V1310" s="59"/>
      <c r="W1310" s="59"/>
      <c r="X1310" s="59"/>
      <c r="Y1310" s="59"/>
      <c r="Z1310" s="10"/>
      <c r="AA1310" s="74"/>
      <c r="AB1310" s="59"/>
      <c r="AC1310" s="9"/>
    </row>
    <row r="1311">
      <c r="A1311" s="9"/>
      <c r="B1311" s="19"/>
      <c r="C1311" s="9"/>
      <c r="D1311" s="9"/>
      <c r="E1311" s="59"/>
      <c r="F1311" s="9"/>
      <c r="G1311" s="9"/>
      <c r="H1311" s="59"/>
      <c r="I1311" s="59"/>
      <c r="J1311" s="59"/>
      <c r="K1311" s="59"/>
      <c r="L1311" s="59"/>
      <c r="M1311" s="59"/>
      <c r="N1311" s="21"/>
      <c r="O1311" s="59"/>
      <c r="P1311" s="59"/>
      <c r="Q1311" s="59"/>
      <c r="R1311" s="59"/>
      <c r="S1311" s="59"/>
      <c r="T1311" s="59"/>
      <c r="U1311" s="59"/>
      <c r="V1311" s="59"/>
      <c r="W1311" s="59"/>
      <c r="X1311" s="59"/>
      <c r="Y1311" s="59"/>
      <c r="Z1311" s="10"/>
      <c r="AA1311" s="74"/>
      <c r="AB1311" s="59"/>
      <c r="AC1311" s="9"/>
    </row>
    <row r="1312">
      <c r="A1312" s="9"/>
      <c r="B1312" s="19"/>
      <c r="C1312" s="9"/>
      <c r="D1312" s="9"/>
      <c r="E1312" s="59"/>
      <c r="F1312" s="9"/>
      <c r="G1312" s="9"/>
      <c r="H1312" s="59"/>
      <c r="I1312" s="59"/>
      <c r="J1312" s="59"/>
      <c r="K1312" s="59"/>
      <c r="L1312" s="59"/>
      <c r="M1312" s="59"/>
      <c r="N1312" s="21"/>
      <c r="O1312" s="59"/>
      <c r="P1312" s="59"/>
      <c r="Q1312" s="59"/>
      <c r="R1312" s="59"/>
      <c r="S1312" s="59"/>
      <c r="T1312" s="59"/>
      <c r="U1312" s="59"/>
      <c r="V1312" s="59"/>
      <c r="W1312" s="59"/>
      <c r="X1312" s="59"/>
      <c r="Y1312" s="59"/>
      <c r="Z1312" s="10"/>
      <c r="AA1312" s="74"/>
      <c r="AB1312" s="59"/>
      <c r="AC1312" s="9"/>
    </row>
    <row r="1313">
      <c r="A1313" s="9"/>
      <c r="B1313" s="19"/>
      <c r="C1313" s="9"/>
      <c r="D1313" s="9"/>
      <c r="E1313" s="59"/>
      <c r="F1313" s="9"/>
      <c r="G1313" s="9"/>
      <c r="H1313" s="59"/>
      <c r="I1313" s="59"/>
      <c r="J1313" s="59"/>
      <c r="K1313" s="59"/>
      <c r="L1313" s="59"/>
      <c r="M1313" s="59"/>
      <c r="N1313" s="21"/>
      <c r="O1313" s="59"/>
      <c r="P1313" s="59"/>
      <c r="Q1313" s="59"/>
      <c r="R1313" s="59"/>
      <c r="S1313" s="59"/>
      <c r="T1313" s="59"/>
      <c r="U1313" s="59"/>
      <c r="V1313" s="59"/>
      <c r="W1313" s="59"/>
      <c r="X1313" s="59"/>
      <c r="Y1313" s="59"/>
      <c r="Z1313" s="10"/>
      <c r="AA1313" s="74"/>
      <c r="AB1313" s="59"/>
      <c r="AC1313" s="9"/>
    </row>
    <row r="1314">
      <c r="A1314" s="9"/>
      <c r="B1314" s="19"/>
      <c r="C1314" s="9"/>
      <c r="D1314" s="9"/>
      <c r="E1314" s="59"/>
      <c r="F1314" s="9"/>
      <c r="G1314" s="9"/>
      <c r="H1314" s="59"/>
      <c r="I1314" s="59"/>
      <c r="J1314" s="59"/>
      <c r="K1314" s="59"/>
      <c r="L1314" s="59"/>
      <c r="M1314" s="59"/>
      <c r="N1314" s="21"/>
      <c r="O1314" s="59"/>
      <c r="P1314" s="59"/>
      <c r="Q1314" s="59"/>
      <c r="R1314" s="59"/>
      <c r="S1314" s="59"/>
      <c r="T1314" s="59"/>
      <c r="U1314" s="59"/>
      <c r="V1314" s="59"/>
      <c r="W1314" s="59"/>
      <c r="X1314" s="59"/>
      <c r="Y1314" s="59"/>
      <c r="Z1314" s="10"/>
      <c r="AA1314" s="74"/>
      <c r="AB1314" s="59"/>
      <c r="AC1314" s="9"/>
    </row>
    <row r="1315">
      <c r="A1315" s="9"/>
      <c r="B1315" s="19"/>
      <c r="C1315" s="9"/>
      <c r="D1315" s="9"/>
      <c r="E1315" s="59"/>
      <c r="F1315" s="9"/>
      <c r="G1315" s="9"/>
      <c r="H1315" s="59"/>
      <c r="I1315" s="59"/>
      <c r="J1315" s="59"/>
      <c r="K1315" s="59"/>
      <c r="L1315" s="59"/>
      <c r="M1315" s="59"/>
      <c r="N1315" s="21"/>
      <c r="O1315" s="59"/>
      <c r="P1315" s="59"/>
      <c r="Q1315" s="59"/>
      <c r="R1315" s="59"/>
      <c r="S1315" s="59"/>
      <c r="T1315" s="59"/>
      <c r="U1315" s="59"/>
      <c r="V1315" s="59"/>
      <c r="W1315" s="59"/>
      <c r="X1315" s="59"/>
      <c r="Y1315" s="59"/>
      <c r="Z1315" s="10"/>
      <c r="AA1315" s="74"/>
      <c r="AB1315" s="59"/>
      <c r="AC1315" s="9"/>
    </row>
    <row r="1316">
      <c r="A1316" s="9"/>
      <c r="B1316" s="19"/>
      <c r="C1316" s="9"/>
      <c r="D1316" s="9"/>
      <c r="E1316" s="59"/>
      <c r="F1316" s="9"/>
      <c r="G1316" s="9"/>
      <c r="H1316" s="59"/>
      <c r="I1316" s="59"/>
      <c r="J1316" s="59"/>
      <c r="K1316" s="59"/>
      <c r="L1316" s="59"/>
      <c r="M1316" s="59"/>
      <c r="N1316" s="21"/>
      <c r="O1316" s="59"/>
      <c r="P1316" s="59"/>
      <c r="Q1316" s="59"/>
      <c r="R1316" s="59"/>
      <c r="S1316" s="59"/>
      <c r="T1316" s="59"/>
      <c r="U1316" s="59"/>
      <c r="V1316" s="59"/>
      <c r="W1316" s="59"/>
      <c r="X1316" s="59"/>
      <c r="Y1316" s="59"/>
      <c r="Z1316" s="10"/>
      <c r="AA1316" s="74"/>
      <c r="AB1316" s="59"/>
      <c r="AC1316" s="9"/>
    </row>
    <row r="1317">
      <c r="A1317" s="9"/>
      <c r="B1317" s="19"/>
      <c r="C1317" s="9"/>
      <c r="D1317" s="9"/>
      <c r="E1317" s="59"/>
      <c r="F1317" s="9"/>
      <c r="G1317" s="9"/>
      <c r="H1317" s="59"/>
      <c r="I1317" s="59"/>
      <c r="J1317" s="59"/>
      <c r="K1317" s="59"/>
      <c r="L1317" s="59"/>
      <c r="M1317" s="59"/>
      <c r="N1317" s="21"/>
      <c r="O1317" s="59"/>
      <c r="P1317" s="59"/>
      <c r="Q1317" s="59"/>
      <c r="R1317" s="59"/>
      <c r="S1317" s="59"/>
      <c r="T1317" s="59"/>
      <c r="U1317" s="59"/>
      <c r="V1317" s="59"/>
      <c r="W1317" s="59"/>
      <c r="X1317" s="59"/>
      <c r="Y1317" s="59"/>
      <c r="Z1317" s="10"/>
      <c r="AA1317" s="74"/>
      <c r="AB1317" s="59"/>
      <c r="AC1317" s="9"/>
    </row>
    <row r="1318">
      <c r="A1318" s="9"/>
      <c r="B1318" s="19"/>
      <c r="C1318" s="9"/>
      <c r="D1318" s="9"/>
      <c r="E1318" s="59"/>
      <c r="F1318" s="9"/>
      <c r="G1318" s="9"/>
      <c r="H1318" s="59"/>
      <c r="I1318" s="59"/>
      <c r="J1318" s="59"/>
      <c r="K1318" s="59"/>
      <c r="L1318" s="59"/>
      <c r="M1318" s="59"/>
      <c r="N1318" s="21"/>
      <c r="O1318" s="59"/>
      <c r="P1318" s="59"/>
      <c r="Q1318" s="59"/>
      <c r="R1318" s="59"/>
      <c r="S1318" s="59"/>
      <c r="T1318" s="59"/>
      <c r="U1318" s="59"/>
      <c r="V1318" s="59"/>
      <c r="W1318" s="59"/>
      <c r="X1318" s="59"/>
      <c r="Y1318" s="59"/>
      <c r="Z1318" s="10"/>
      <c r="AA1318" s="74"/>
      <c r="AB1318" s="59"/>
      <c r="AC1318" s="9"/>
    </row>
    <row r="1319">
      <c r="A1319" s="9"/>
      <c r="B1319" s="19"/>
      <c r="C1319" s="9"/>
      <c r="D1319" s="9"/>
      <c r="E1319" s="59"/>
      <c r="F1319" s="9"/>
      <c r="G1319" s="9"/>
      <c r="H1319" s="59"/>
      <c r="I1319" s="59"/>
      <c r="J1319" s="59"/>
      <c r="K1319" s="59"/>
      <c r="L1319" s="59"/>
      <c r="M1319" s="59"/>
      <c r="N1319" s="21"/>
      <c r="O1319" s="59"/>
      <c r="P1319" s="59"/>
      <c r="Q1319" s="59"/>
      <c r="R1319" s="59"/>
      <c r="S1319" s="59"/>
      <c r="T1319" s="59"/>
      <c r="U1319" s="59"/>
      <c r="V1319" s="59"/>
      <c r="W1319" s="59"/>
      <c r="X1319" s="59"/>
      <c r="Y1319" s="59"/>
      <c r="Z1319" s="10"/>
      <c r="AA1319" s="74"/>
      <c r="AB1319" s="59"/>
      <c r="AC1319" s="9"/>
    </row>
    <row r="1320">
      <c r="A1320" s="9"/>
      <c r="B1320" s="19"/>
      <c r="C1320" s="9"/>
      <c r="D1320" s="9"/>
      <c r="E1320" s="59"/>
      <c r="F1320" s="9"/>
      <c r="G1320" s="9"/>
      <c r="H1320" s="59"/>
      <c r="I1320" s="59"/>
      <c r="J1320" s="59"/>
      <c r="K1320" s="59"/>
      <c r="L1320" s="59"/>
      <c r="M1320" s="59"/>
      <c r="N1320" s="21"/>
      <c r="O1320" s="59"/>
      <c r="P1320" s="59"/>
      <c r="Q1320" s="59"/>
      <c r="R1320" s="59"/>
      <c r="S1320" s="59"/>
      <c r="T1320" s="59"/>
      <c r="U1320" s="59"/>
      <c r="V1320" s="59"/>
      <c r="W1320" s="59"/>
      <c r="X1320" s="59"/>
      <c r="Y1320" s="59"/>
      <c r="Z1320" s="10"/>
      <c r="AA1320" s="74"/>
      <c r="AB1320" s="59"/>
      <c r="AC1320" s="9"/>
    </row>
    <row r="1321">
      <c r="A1321" s="9"/>
      <c r="B1321" s="19"/>
      <c r="C1321" s="9"/>
      <c r="D1321" s="9"/>
      <c r="E1321" s="59"/>
      <c r="F1321" s="9"/>
      <c r="G1321" s="9"/>
      <c r="H1321" s="59"/>
      <c r="I1321" s="59"/>
      <c r="J1321" s="59"/>
      <c r="K1321" s="59"/>
      <c r="L1321" s="59"/>
      <c r="M1321" s="59"/>
      <c r="N1321" s="21"/>
      <c r="O1321" s="59"/>
      <c r="P1321" s="59"/>
      <c r="Q1321" s="59"/>
      <c r="R1321" s="59"/>
      <c r="S1321" s="59"/>
      <c r="T1321" s="59"/>
      <c r="U1321" s="59"/>
      <c r="V1321" s="59"/>
      <c r="W1321" s="59"/>
      <c r="X1321" s="59"/>
      <c r="Y1321" s="59"/>
      <c r="Z1321" s="10"/>
      <c r="AA1321" s="74"/>
      <c r="AB1321" s="59"/>
      <c r="AC1321" s="9"/>
    </row>
    <row r="1322">
      <c r="A1322" s="9"/>
      <c r="B1322" s="19"/>
      <c r="C1322" s="9"/>
      <c r="D1322" s="9"/>
      <c r="E1322" s="59"/>
      <c r="F1322" s="9"/>
      <c r="G1322" s="9"/>
      <c r="H1322" s="59"/>
      <c r="I1322" s="59"/>
      <c r="J1322" s="59"/>
      <c r="K1322" s="59"/>
      <c r="L1322" s="59"/>
      <c r="M1322" s="59"/>
      <c r="N1322" s="21"/>
      <c r="O1322" s="59"/>
      <c r="P1322" s="59"/>
      <c r="Q1322" s="59"/>
      <c r="R1322" s="59"/>
      <c r="S1322" s="59"/>
      <c r="T1322" s="59"/>
      <c r="U1322" s="59"/>
      <c r="V1322" s="59"/>
      <c r="W1322" s="59"/>
      <c r="X1322" s="59"/>
      <c r="Y1322" s="59"/>
      <c r="Z1322" s="10"/>
      <c r="AA1322" s="74"/>
      <c r="AB1322" s="59"/>
      <c r="AC1322" s="9"/>
    </row>
    <row r="1323">
      <c r="A1323" s="9"/>
      <c r="B1323" s="19"/>
      <c r="C1323" s="9"/>
      <c r="D1323" s="9"/>
      <c r="E1323" s="59"/>
      <c r="F1323" s="9"/>
      <c r="G1323" s="9"/>
      <c r="H1323" s="59"/>
      <c r="I1323" s="59"/>
      <c r="J1323" s="59"/>
      <c r="K1323" s="59"/>
      <c r="L1323" s="59"/>
      <c r="M1323" s="59"/>
      <c r="N1323" s="21"/>
      <c r="O1323" s="59"/>
      <c r="P1323" s="59"/>
      <c r="Q1323" s="59"/>
      <c r="R1323" s="59"/>
      <c r="S1323" s="59"/>
      <c r="T1323" s="59"/>
      <c r="U1323" s="59"/>
      <c r="V1323" s="59"/>
      <c r="W1323" s="59"/>
      <c r="X1323" s="59"/>
      <c r="Y1323" s="59"/>
      <c r="Z1323" s="10"/>
      <c r="AA1323" s="74"/>
      <c r="AB1323" s="59"/>
      <c r="AC1323" s="9"/>
    </row>
    <row r="1324">
      <c r="A1324" s="9"/>
      <c r="B1324" s="19"/>
      <c r="C1324" s="9"/>
      <c r="D1324" s="9"/>
      <c r="E1324" s="59"/>
      <c r="F1324" s="9"/>
      <c r="G1324" s="9"/>
      <c r="H1324" s="59"/>
      <c r="I1324" s="59"/>
      <c r="J1324" s="59"/>
      <c r="K1324" s="59"/>
      <c r="L1324" s="59"/>
      <c r="M1324" s="59"/>
      <c r="N1324" s="21"/>
      <c r="O1324" s="59"/>
      <c r="P1324" s="59"/>
      <c r="Q1324" s="59"/>
      <c r="R1324" s="59"/>
      <c r="S1324" s="59"/>
      <c r="T1324" s="59"/>
      <c r="U1324" s="59"/>
      <c r="V1324" s="59"/>
      <c r="W1324" s="59"/>
      <c r="X1324" s="59"/>
      <c r="Y1324" s="59"/>
      <c r="Z1324" s="10"/>
      <c r="AA1324" s="74"/>
      <c r="AB1324" s="59"/>
      <c r="AC1324" s="9"/>
    </row>
    <row r="1325">
      <c r="A1325" s="9"/>
      <c r="B1325" s="19"/>
      <c r="C1325" s="9"/>
      <c r="D1325" s="9"/>
      <c r="E1325" s="59"/>
      <c r="F1325" s="9"/>
      <c r="G1325" s="9"/>
      <c r="H1325" s="59"/>
      <c r="I1325" s="59"/>
      <c r="J1325" s="59"/>
      <c r="K1325" s="59"/>
      <c r="L1325" s="59"/>
      <c r="M1325" s="59"/>
      <c r="N1325" s="21"/>
      <c r="O1325" s="59"/>
      <c r="P1325" s="59"/>
      <c r="Q1325" s="59"/>
      <c r="R1325" s="59"/>
      <c r="S1325" s="59"/>
      <c r="T1325" s="59"/>
      <c r="U1325" s="59"/>
      <c r="V1325" s="59"/>
      <c r="W1325" s="59"/>
      <c r="X1325" s="59"/>
      <c r="Y1325" s="59"/>
      <c r="Z1325" s="10"/>
      <c r="AA1325" s="74"/>
      <c r="AB1325" s="59"/>
      <c r="AC1325" s="9"/>
    </row>
    <row r="1326">
      <c r="A1326" s="9"/>
      <c r="B1326" s="19"/>
      <c r="C1326" s="9"/>
      <c r="D1326" s="9"/>
      <c r="E1326" s="59"/>
      <c r="F1326" s="9"/>
      <c r="G1326" s="9"/>
      <c r="H1326" s="59"/>
      <c r="I1326" s="59"/>
      <c r="J1326" s="59"/>
      <c r="K1326" s="59"/>
      <c r="L1326" s="59"/>
      <c r="M1326" s="59"/>
      <c r="N1326" s="21"/>
      <c r="O1326" s="59"/>
      <c r="P1326" s="59"/>
      <c r="Q1326" s="59"/>
      <c r="R1326" s="59"/>
      <c r="S1326" s="59"/>
      <c r="T1326" s="59"/>
      <c r="U1326" s="59"/>
      <c r="V1326" s="59"/>
      <c r="W1326" s="59"/>
      <c r="X1326" s="59"/>
      <c r="Y1326" s="59"/>
      <c r="Z1326" s="10"/>
      <c r="AA1326" s="74"/>
      <c r="AB1326" s="59"/>
      <c r="AC1326" s="9"/>
    </row>
    <row r="1327">
      <c r="A1327" s="9"/>
      <c r="B1327" s="19"/>
      <c r="C1327" s="9"/>
      <c r="D1327" s="9"/>
      <c r="E1327" s="59"/>
      <c r="F1327" s="9"/>
      <c r="G1327" s="9"/>
      <c r="H1327" s="59"/>
      <c r="I1327" s="59"/>
      <c r="J1327" s="59"/>
      <c r="K1327" s="59"/>
      <c r="L1327" s="59"/>
      <c r="M1327" s="59"/>
      <c r="N1327" s="21"/>
      <c r="O1327" s="59"/>
      <c r="P1327" s="59"/>
      <c r="Q1327" s="59"/>
      <c r="R1327" s="59"/>
      <c r="S1327" s="59"/>
      <c r="T1327" s="59"/>
      <c r="U1327" s="59"/>
      <c r="V1327" s="59"/>
      <c r="W1327" s="59"/>
      <c r="X1327" s="59"/>
      <c r="Y1327" s="59"/>
      <c r="Z1327" s="10"/>
      <c r="AA1327" s="74"/>
      <c r="AB1327" s="59"/>
      <c r="AC1327" s="9"/>
    </row>
    <row r="1328">
      <c r="A1328" s="9"/>
      <c r="B1328" s="19"/>
      <c r="C1328" s="9"/>
      <c r="D1328" s="9"/>
      <c r="E1328" s="59"/>
      <c r="F1328" s="9"/>
      <c r="G1328" s="9"/>
      <c r="H1328" s="59"/>
      <c r="I1328" s="59"/>
      <c r="J1328" s="59"/>
      <c r="K1328" s="59"/>
      <c r="L1328" s="59"/>
      <c r="M1328" s="59"/>
      <c r="N1328" s="21"/>
      <c r="O1328" s="59"/>
      <c r="P1328" s="59"/>
      <c r="Q1328" s="59"/>
      <c r="R1328" s="59"/>
      <c r="S1328" s="59"/>
      <c r="T1328" s="59"/>
      <c r="U1328" s="59"/>
      <c r="V1328" s="59"/>
      <c r="W1328" s="59"/>
      <c r="X1328" s="59"/>
      <c r="Y1328" s="59"/>
      <c r="Z1328" s="10"/>
      <c r="AA1328" s="74"/>
      <c r="AB1328" s="59"/>
      <c r="AC1328" s="9"/>
    </row>
    <row r="1329">
      <c r="A1329" s="9"/>
      <c r="B1329" s="19"/>
      <c r="C1329" s="9"/>
      <c r="D1329" s="9"/>
      <c r="E1329" s="59"/>
      <c r="F1329" s="9"/>
      <c r="G1329" s="9"/>
      <c r="H1329" s="59"/>
      <c r="I1329" s="59"/>
      <c r="J1329" s="59"/>
      <c r="K1329" s="59"/>
      <c r="L1329" s="59"/>
      <c r="M1329" s="59"/>
      <c r="N1329" s="21"/>
      <c r="O1329" s="59"/>
      <c r="P1329" s="59"/>
      <c r="Q1329" s="59"/>
      <c r="R1329" s="59"/>
      <c r="S1329" s="59"/>
      <c r="T1329" s="59"/>
      <c r="U1329" s="59"/>
      <c r="V1329" s="59"/>
      <c r="W1329" s="59"/>
      <c r="X1329" s="59"/>
      <c r="Y1329" s="59"/>
      <c r="Z1329" s="10"/>
      <c r="AA1329" s="74"/>
      <c r="AB1329" s="59"/>
      <c r="AC1329" s="9"/>
    </row>
    <row r="1330">
      <c r="A1330" s="9"/>
      <c r="B1330" s="19"/>
      <c r="C1330" s="9"/>
      <c r="D1330" s="9"/>
      <c r="E1330" s="59"/>
      <c r="F1330" s="9"/>
      <c r="G1330" s="9"/>
      <c r="H1330" s="59"/>
      <c r="I1330" s="59"/>
      <c r="J1330" s="59"/>
      <c r="K1330" s="59"/>
      <c r="L1330" s="59"/>
      <c r="M1330" s="59"/>
      <c r="N1330" s="21"/>
      <c r="O1330" s="59"/>
      <c r="P1330" s="59"/>
      <c r="Q1330" s="59"/>
      <c r="R1330" s="59"/>
      <c r="S1330" s="59"/>
      <c r="T1330" s="59"/>
      <c r="U1330" s="59"/>
      <c r="V1330" s="59"/>
      <c r="W1330" s="59"/>
      <c r="X1330" s="59"/>
      <c r="Y1330" s="59"/>
      <c r="Z1330" s="10"/>
      <c r="AA1330" s="74"/>
      <c r="AB1330" s="59"/>
      <c r="AC1330" s="9"/>
    </row>
    <row r="1331">
      <c r="A1331" s="9"/>
      <c r="B1331" s="19"/>
      <c r="C1331" s="9"/>
      <c r="D1331" s="9"/>
      <c r="E1331" s="59"/>
      <c r="F1331" s="9"/>
      <c r="G1331" s="9"/>
      <c r="H1331" s="59"/>
      <c r="I1331" s="59"/>
      <c r="J1331" s="59"/>
      <c r="K1331" s="59"/>
      <c r="L1331" s="59"/>
      <c r="M1331" s="59"/>
      <c r="N1331" s="21"/>
      <c r="O1331" s="59"/>
      <c r="P1331" s="59"/>
      <c r="Q1331" s="59"/>
      <c r="R1331" s="59"/>
      <c r="S1331" s="59"/>
      <c r="T1331" s="59"/>
      <c r="U1331" s="59"/>
      <c r="V1331" s="59"/>
      <c r="W1331" s="59"/>
      <c r="X1331" s="59"/>
      <c r="Y1331" s="59"/>
      <c r="Z1331" s="10"/>
      <c r="AA1331" s="74"/>
      <c r="AB1331" s="59"/>
      <c r="AC1331" s="9"/>
    </row>
    <row r="1332">
      <c r="A1332" s="9"/>
      <c r="B1332" s="19"/>
      <c r="C1332" s="9"/>
      <c r="D1332" s="9"/>
      <c r="E1332" s="59"/>
      <c r="F1332" s="9"/>
      <c r="G1332" s="9"/>
      <c r="H1332" s="59"/>
      <c r="I1332" s="59"/>
      <c r="J1332" s="59"/>
      <c r="K1332" s="59"/>
      <c r="L1332" s="59"/>
      <c r="M1332" s="59"/>
      <c r="N1332" s="21"/>
      <c r="O1332" s="59"/>
      <c r="P1332" s="59"/>
      <c r="Q1332" s="59"/>
      <c r="R1332" s="59"/>
      <c r="S1332" s="59"/>
      <c r="T1332" s="59"/>
      <c r="U1332" s="59"/>
      <c r="V1332" s="59"/>
      <c r="W1332" s="59"/>
      <c r="X1332" s="59"/>
      <c r="Y1332" s="59"/>
      <c r="Z1332" s="10"/>
      <c r="AA1332" s="74"/>
      <c r="AB1332" s="59"/>
      <c r="AC1332" s="9"/>
    </row>
    <row r="1333">
      <c r="A1333" s="9"/>
      <c r="B1333" s="19"/>
      <c r="C1333" s="9"/>
      <c r="D1333" s="9"/>
      <c r="E1333" s="59"/>
      <c r="F1333" s="9"/>
      <c r="G1333" s="9"/>
      <c r="H1333" s="59"/>
      <c r="I1333" s="59"/>
      <c r="J1333" s="59"/>
      <c r="K1333" s="59"/>
      <c r="L1333" s="59"/>
      <c r="M1333" s="59"/>
      <c r="N1333" s="21"/>
      <c r="O1333" s="59"/>
      <c r="P1333" s="59"/>
      <c r="Q1333" s="59"/>
      <c r="R1333" s="59"/>
      <c r="S1333" s="59"/>
      <c r="T1333" s="59"/>
      <c r="U1333" s="59"/>
      <c r="V1333" s="59"/>
      <c r="W1333" s="59"/>
      <c r="X1333" s="59"/>
      <c r="Y1333" s="59"/>
      <c r="Z1333" s="10"/>
      <c r="AA1333" s="74"/>
      <c r="AB1333" s="59"/>
      <c r="AC1333" s="9"/>
    </row>
    <row r="1334">
      <c r="A1334" s="9"/>
      <c r="B1334" s="19"/>
      <c r="C1334" s="9"/>
      <c r="D1334" s="9"/>
      <c r="E1334" s="59"/>
      <c r="F1334" s="9"/>
      <c r="G1334" s="9"/>
      <c r="H1334" s="59"/>
      <c r="I1334" s="59"/>
      <c r="J1334" s="59"/>
      <c r="K1334" s="59"/>
      <c r="L1334" s="59"/>
      <c r="M1334" s="59"/>
      <c r="N1334" s="21"/>
      <c r="O1334" s="59"/>
      <c r="P1334" s="59"/>
      <c r="Q1334" s="59"/>
      <c r="R1334" s="59"/>
      <c r="S1334" s="59"/>
      <c r="T1334" s="59"/>
      <c r="U1334" s="59"/>
      <c r="V1334" s="59"/>
      <c r="W1334" s="59"/>
      <c r="X1334" s="59"/>
      <c r="Y1334" s="59"/>
      <c r="Z1334" s="10"/>
      <c r="AA1334" s="74"/>
      <c r="AB1334" s="59"/>
      <c r="AC1334" s="9"/>
    </row>
    <row r="1335">
      <c r="A1335" s="9"/>
      <c r="B1335" s="19"/>
      <c r="C1335" s="9"/>
      <c r="D1335" s="9"/>
      <c r="E1335" s="59"/>
      <c r="F1335" s="9"/>
      <c r="G1335" s="9"/>
      <c r="H1335" s="59"/>
      <c r="I1335" s="59"/>
      <c r="J1335" s="59"/>
      <c r="K1335" s="59"/>
      <c r="L1335" s="59"/>
      <c r="M1335" s="59"/>
      <c r="N1335" s="21"/>
      <c r="O1335" s="59"/>
      <c r="P1335" s="59"/>
      <c r="Q1335" s="59"/>
      <c r="R1335" s="59"/>
      <c r="S1335" s="59"/>
      <c r="T1335" s="59"/>
      <c r="U1335" s="59"/>
      <c r="V1335" s="59"/>
      <c r="W1335" s="59"/>
      <c r="X1335" s="59"/>
      <c r="Y1335" s="59"/>
      <c r="Z1335" s="10"/>
      <c r="AA1335" s="74"/>
      <c r="AB1335" s="59"/>
      <c r="AC1335" s="9"/>
    </row>
    <row r="1336">
      <c r="A1336" s="9"/>
      <c r="B1336" s="19"/>
      <c r="C1336" s="9"/>
      <c r="D1336" s="9"/>
      <c r="E1336" s="59"/>
      <c r="F1336" s="9"/>
      <c r="G1336" s="9"/>
      <c r="H1336" s="59"/>
      <c r="I1336" s="59"/>
      <c r="J1336" s="59"/>
      <c r="K1336" s="59"/>
      <c r="L1336" s="59"/>
      <c r="M1336" s="59"/>
      <c r="N1336" s="21"/>
      <c r="O1336" s="59"/>
      <c r="P1336" s="59"/>
      <c r="Q1336" s="59"/>
      <c r="R1336" s="59"/>
      <c r="S1336" s="59"/>
      <c r="T1336" s="59"/>
      <c r="U1336" s="59"/>
      <c r="V1336" s="59"/>
      <c r="W1336" s="59"/>
      <c r="X1336" s="59"/>
      <c r="Y1336" s="59"/>
      <c r="Z1336" s="10"/>
      <c r="AA1336" s="74"/>
      <c r="AB1336" s="59"/>
      <c r="AC1336" s="9"/>
    </row>
    <row r="1337">
      <c r="A1337" s="9"/>
      <c r="B1337" s="19"/>
      <c r="C1337" s="9"/>
      <c r="D1337" s="9"/>
      <c r="E1337" s="59"/>
      <c r="F1337" s="9"/>
      <c r="G1337" s="9"/>
      <c r="H1337" s="59"/>
      <c r="I1337" s="59"/>
      <c r="J1337" s="59"/>
      <c r="K1337" s="59"/>
      <c r="L1337" s="59"/>
      <c r="M1337" s="59"/>
      <c r="N1337" s="21"/>
      <c r="O1337" s="59"/>
      <c r="P1337" s="59"/>
      <c r="Q1337" s="59"/>
      <c r="R1337" s="59"/>
      <c r="S1337" s="59"/>
      <c r="T1337" s="59"/>
      <c r="U1337" s="59"/>
      <c r="V1337" s="59"/>
      <c r="W1337" s="59"/>
      <c r="X1337" s="59"/>
      <c r="Y1337" s="59"/>
      <c r="Z1337" s="10"/>
      <c r="AA1337" s="74"/>
      <c r="AB1337" s="59"/>
      <c r="AC1337" s="9"/>
    </row>
    <row r="1338">
      <c r="A1338" s="9"/>
      <c r="B1338" s="19"/>
      <c r="C1338" s="9"/>
      <c r="D1338" s="9"/>
      <c r="E1338" s="59"/>
      <c r="F1338" s="9"/>
      <c r="G1338" s="9"/>
      <c r="H1338" s="59"/>
      <c r="I1338" s="59"/>
      <c r="J1338" s="59"/>
      <c r="K1338" s="59"/>
      <c r="L1338" s="59"/>
      <c r="M1338" s="59"/>
      <c r="N1338" s="21"/>
      <c r="O1338" s="59"/>
      <c r="P1338" s="59"/>
      <c r="Q1338" s="59"/>
      <c r="R1338" s="59"/>
      <c r="S1338" s="59"/>
      <c r="T1338" s="59"/>
      <c r="U1338" s="59"/>
      <c r="V1338" s="59"/>
      <c r="W1338" s="59"/>
      <c r="X1338" s="59"/>
      <c r="Y1338" s="59"/>
      <c r="Z1338" s="10"/>
      <c r="AA1338" s="74"/>
      <c r="AB1338" s="59"/>
      <c r="AC1338" s="9"/>
    </row>
    <row r="1339">
      <c r="A1339" s="9"/>
      <c r="B1339" s="19"/>
      <c r="C1339" s="9"/>
      <c r="D1339" s="9"/>
      <c r="E1339" s="59"/>
      <c r="F1339" s="9"/>
      <c r="G1339" s="9"/>
      <c r="H1339" s="59"/>
      <c r="I1339" s="59"/>
      <c r="J1339" s="59"/>
      <c r="K1339" s="59"/>
      <c r="L1339" s="59"/>
      <c r="M1339" s="59"/>
      <c r="N1339" s="21"/>
      <c r="O1339" s="59"/>
      <c r="P1339" s="59"/>
      <c r="Q1339" s="59"/>
      <c r="R1339" s="59"/>
      <c r="S1339" s="59"/>
      <c r="T1339" s="59"/>
      <c r="U1339" s="59"/>
      <c r="V1339" s="59"/>
      <c r="W1339" s="59"/>
      <c r="X1339" s="59"/>
      <c r="Y1339" s="59"/>
      <c r="Z1339" s="10"/>
      <c r="AA1339" s="74"/>
      <c r="AB1339" s="59"/>
      <c r="AC1339" s="9"/>
    </row>
    <row r="1340">
      <c r="A1340" s="9"/>
      <c r="B1340" s="19"/>
      <c r="C1340" s="9"/>
      <c r="D1340" s="9"/>
      <c r="E1340" s="59"/>
      <c r="F1340" s="9"/>
      <c r="G1340" s="9"/>
      <c r="H1340" s="59"/>
      <c r="I1340" s="59"/>
      <c r="J1340" s="59"/>
      <c r="K1340" s="59"/>
      <c r="L1340" s="59"/>
      <c r="M1340" s="59"/>
      <c r="N1340" s="21"/>
      <c r="O1340" s="59"/>
      <c r="P1340" s="59"/>
      <c r="Q1340" s="59"/>
      <c r="R1340" s="59"/>
      <c r="S1340" s="59"/>
      <c r="T1340" s="59"/>
      <c r="U1340" s="59"/>
      <c r="V1340" s="59"/>
      <c r="W1340" s="59"/>
      <c r="X1340" s="59"/>
      <c r="Y1340" s="59"/>
      <c r="Z1340" s="10"/>
      <c r="AA1340" s="74"/>
      <c r="AB1340" s="59"/>
      <c r="AC1340" s="9"/>
    </row>
    <row r="1341">
      <c r="A1341" s="9"/>
      <c r="B1341" s="19"/>
      <c r="C1341" s="9"/>
      <c r="D1341" s="9"/>
      <c r="E1341" s="59"/>
      <c r="F1341" s="9"/>
      <c r="G1341" s="9"/>
      <c r="H1341" s="59"/>
      <c r="I1341" s="59"/>
      <c r="J1341" s="59"/>
      <c r="K1341" s="59"/>
      <c r="L1341" s="59"/>
      <c r="M1341" s="59"/>
      <c r="N1341" s="21"/>
      <c r="O1341" s="59"/>
      <c r="P1341" s="59"/>
      <c r="Q1341" s="59"/>
      <c r="R1341" s="59"/>
      <c r="S1341" s="59"/>
      <c r="T1341" s="59"/>
      <c r="U1341" s="59"/>
      <c r="V1341" s="59"/>
      <c r="W1341" s="59"/>
      <c r="X1341" s="59"/>
      <c r="Y1341" s="59"/>
      <c r="Z1341" s="10"/>
      <c r="AA1341" s="74"/>
      <c r="AB1341" s="59"/>
      <c r="AC1341" s="9"/>
    </row>
    <row r="1342">
      <c r="A1342" s="9"/>
      <c r="B1342" s="19"/>
      <c r="C1342" s="9"/>
      <c r="D1342" s="9"/>
      <c r="E1342" s="59"/>
      <c r="F1342" s="9"/>
      <c r="G1342" s="9"/>
      <c r="H1342" s="59"/>
      <c r="I1342" s="59"/>
      <c r="J1342" s="59"/>
      <c r="K1342" s="59"/>
      <c r="L1342" s="59"/>
      <c r="M1342" s="59"/>
      <c r="N1342" s="21"/>
      <c r="O1342" s="59"/>
      <c r="P1342" s="59"/>
      <c r="Q1342" s="59"/>
      <c r="R1342" s="59"/>
      <c r="S1342" s="59"/>
      <c r="T1342" s="59"/>
      <c r="U1342" s="59"/>
      <c r="V1342" s="59"/>
      <c r="W1342" s="59"/>
      <c r="X1342" s="59"/>
      <c r="Y1342" s="59"/>
      <c r="Z1342" s="10"/>
      <c r="AA1342" s="74"/>
      <c r="AB1342" s="59"/>
      <c r="AC1342" s="9"/>
    </row>
    <row r="1343">
      <c r="A1343" s="9"/>
      <c r="B1343" s="19"/>
      <c r="C1343" s="9"/>
      <c r="D1343" s="9"/>
      <c r="E1343" s="59"/>
      <c r="F1343" s="9"/>
      <c r="G1343" s="9"/>
      <c r="H1343" s="59"/>
      <c r="I1343" s="59"/>
      <c r="J1343" s="59"/>
      <c r="K1343" s="59"/>
      <c r="L1343" s="59"/>
      <c r="M1343" s="59"/>
      <c r="N1343" s="21"/>
      <c r="O1343" s="59"/>
      <c r="P1343" s="59"/>
      <c r="Q1343" s="59"/>
      <c r="R1343" s="59"/>
      <c r="S1343" s="59"/>
      <c r="T1343" s="59"/>
      <c r="U1343" s="59"/>
      <c r="V1343" s="59"/>
      <c r="W1343" s="59"/>
      <c r="X1343" s="59"/>
      <c r="Y1343" s="59"/>
      <c r="Z1343" s="10"/>
      <c r="AA1343" s="74"/>
      <c r="AB1343" s="59"/>
      <c r="AC1343" s="9"/>
    </row>
    <row r="1344">
      <c r="A1344" s="9"/>
      <c r="B1344" s="19"/>
      <c r="C1344" s="9"/>
      <c r="D1344" s="9"/>
      <c r="E1344" s="59"/>
      <c r="F1344" s="9"/>
      <c r="G1344" s="9"/>
      <c r="H1344" s="59"/>
      <c r="I1344" s="59"/>
      <c r="J1344" s="59"/>
      <c r="K1344" s="59"/>
      <c r="L1344" s="59"/>
      <c r="M1344" s="59"/>
      <c r="N1344" s="21"/>
      <c r="O1344" s="59"/>
      <c r="P1344" s="59"/>
      <c r="Q1344" s="59"/>
      <c r="R1344" s="59"/>
      <c r="S1344" s="59"/>
      <c r="T1344" s="59"/>
      <c r="U1344" s="59"/>
      <c r="V1344" s="59"/>
      <c r="W1344" s="59"/>
      <c r="X1344" s="59"/>
      <c r="Y1344" s="59"/>
      <c r="Z1344" s="10"/>
      <c r="AA1344" s="74"/>
      <c r="AB1344" s="59"/>
      <c r="AC1344" s="9"/>
    </row>
    <row r="1345">
      <c r="A1345" s="9"/>
      <c r="B1345" s="19"/>
      <c r="C1345" s="9"/>
      <c r="D1345" s="9"/>
      <c r="E1345" s="59"/>
      <c r="F1345" s="9"/>
      <c r="G1345" s="9"/>
      <c r="H1345" s="59"/>
      <c r="I1345" s="59"/>
      <c r="J1345" s="59"/>
      <c r="K1345" s="59"/>
      <c r="L1345" s="59"/>
      <c r="M1345" s="59"/>
      <c r="N1345" s="21"/>
      <c r="O1345" s="59"/>
      <c r="P1345" s="59"/>
      <c r="Q1345" s="59"/>
      <c r="R1345" s="59"/>
      <c r="S1345" s="59"/>
      <c r="T1345" s="59"/>
      <c r="U1345" s="59"/>
      <c r="V1345" s="59"/>
      <c r="W1345" s="59"/>
      <c r="X1345" s="59"/>
      <c r="Y1345" s="59"/>
      <c r="Z1345" s="10"/>
      <c r="AA1345" s="74"/>
      <c r="AB1345" s="59"/>
      <c r="AC1345" s="9"/>
    </row>
    <row r="1346">
      <c r="A1346" s="9"/>
      <c r="B1346" s="19"/>
      <c r="C1346" s="9"/>
      <c r="D1346" s="9"/>
      <c r="E1346" s="59"/>
      <c r="F1346" s="9"/>
      <c r="G1346" s="9"/>
      <c r="H1346" s="59"/>
      <c r="I1346" s="59"/>
      <c r="J1346" s="59"/>
      <c r="K1346" s="59"/>
      <c r="L1346" s="59"/>
      <c r="M1346" s="59"/>
      <c r="N1346" s="21"/>
      <c r="O1346" s="59"/>
      <c r="P1346" s="59"/>
      <c r="Q1346" s="59"/>
      <c r="R1346" s="59"/>
      <c r="S1346" s="59"/>
      <c r="T1346" s="59"/>
      <c r="U1346" s="59"/>
      <c r="V1346" s="59"/>
      <c r="W1346" s="59"/>
      <c r="X1346" s="59"/>
      <c r="Y1346" s="59"/>
      <c r="Z1346" s="10"/>
      <c r="AA1346" s="74"/>
      <c r="AB1346" s="59"/>
      <c r="AC1346" s="9"/>
    </row>
    <row r="1347">
      <c r="A1347" s="9"/>
      <c r="B1347" s="19"/>
      <c r="C1347" s="9"/>
      <c r="D1347" s="9"/>
      <c r="E1347" s="59"/>
      <c r="F1347" s="9"/>
      <c r="G1347" s="9"/>
      <c r="H1347" s="59"/>
      <c r="I1347" s="59"/>
      <c r="J1347" s="59"/>
      <c r="K1347" s="59"/>
      <c r="L1347" s="59"/>
      <c r="M1347" s="59"/>
      <c r="N1347" s="21"/>
      <c r="O1347" s="59"/>
      <c r="P1347" s="59"/>
      <c r="Q1347" s="59"/>
      <c r="R1347" s="59"/>
      <c r="S1347" s="59"/>
      <c r="T1347" s="59"/>
      <c r="U1347" s="59"/>
      <c r="V1347" s="59"/>
      <c r="W1347" s="59"/>
      <c r="X1347" s="59"/>
      <c r="Y1347" s="59"/>
      <c r="Z1347" s="10"/>
      <c r="AA1347" s="74"/>
      <c r="AB1347" s="59"/>
      <c r="AC1347" s="9"/>
    </row>
    <row r="1348">
      <c r="A1348" s="9"/>
      <c r="B1348" s="19"/>
      <c r="C1348" s="9"/>
      <c r="D1348" s="9"/>
      <c r="E1348" s="59"/>
      <c r="F1348" s="9"/>
      <c r="G1348" s="9"/>
      <c r="H1348" s="59"/>
      <c r="I1348" s="59"/>
      <c r="J1348" s="59"/>
      <c r="K1348" s="59"/>
      <c r="L1348" s="59"/>
      <c r="M1348" s="59"/>
      <c r="N1348" s="21"/>
      <c r="O1348" s="59"/>
      <c r="P1348" s="59"/>
      <c r="Q1348" s="59"/>
      <c r="R1348" s="59"/>
      <c r="S1348" s="59"/>
      <c r="T1348" s="59"/>
      <c r="U1348" s="59"/>
      <c r="V1348" s="59"/>
      <c r="W1348" s="59"/>
      <c r="X1348" s="59"/>
      <c r="Y1348" s="59"/>
      <c r="Z1348" s="10"/>
      <c r="AA1348" s="74"/>
      <c r="AB1348" s="59"/>
      <c r="AC1348" s="9"/>
    </row>
    <row r="1349">
      <c r="A1349" s="9"/>
      <c r="B1349" s="19"/>
      <c r="C1349" s="9"/>
      <c r="D1349" s="9"/>
      <c r="E1349" s="59"/>
      <c r="F1349" s="9"/>
      <c r="G1349" s="9"/>
      <c r="H1349" s="59"/>
      <c r="I1349" s="59"/>
      <c r="J1349" s="59"/>
      <c r="K1349" s="59"/>
      <c r="L1349" s="59"/>
      <c r="M1349" s="59"/>
      <c r="N1349" s="21"/>
      <c r="O1349" s="59"/>
      <c r="P1349" s="59"/>
      <c r="Q1349" s="59"/>
      <c r="R1349" s="59"/>
      <c r="S1349" s="59"/>
      <c r="T1349" s="59"/>
      <c r="U1349" s="59"/>
      <c r="V1349" s="59"/>
      <c r="W1349" s="59"/>
      <c r="X1349" s="59"/>
      <c r="Y1349" s="59"/>
      <c r="Z1349" s="10"/>
      <c r="AA1349" s="74"/>
      <c r="AB1349" s="59"/>
      <c r="AC1349" s="9"/>
    </row>
    <row r="1350">
      <c r="A1350" s="9"/>
      <c r="B1350" s="19"/>
      <c r="C1350" s="9"/>
      <c r="D1350" s="9"/>
      <c r="E1350" s="59"/>
      <c r="F1350" s="9"/>
      <c r="G1350" s="9"/>
      <c r="H1350" s="59"/>
      <c r="I1350" s="59"/>
      <c r="J1350" s="59"/>
      <c r="K1350" s="59"/>
      <c r="L1350" s="59"/>
      <c r="M1350" s="59"/>
      <c r="N1350" s="21"/>
      <c r="O1350" s="59"/>
      <c r="P1350" s="59"/>
      <c r="Q1350" s="59"/>
      <c r="R1350" s="59"/>
      <c r="S1350" s="59"/>
      <c r="T1350" s="59"/>
      <c r="U1350" s="59"/>
      <c r="V1350" s="59"/>
      <c r="W1350" s="59"/>
      <c r="X1350" s="59"/>
      <c r="Y1350" s="59"/>
      <c r="Z1350" s="10"/>
      <c r="AA1350" s="74"/>
      <c r="AB1350" s="59"/>
      <c r="AC1350" s="9"/>
    </row>
    <row r="1351">
      <c r="A1351" s="9"/>
      <c r="B1351" s="19"/>
      <c r="C1351" s="9"/>
      <c r="D1351" s="9"/>
      <c r="E1351" s="59"/>
      <c r="F1351" s="9"/>
      <c r="G1351" s="9"/>
      <c r="H1351" s="59"/>
      <c r="I1351" s="59"/>
      <c r="J1351" s="59"/>
      <c r="K1351" s="59"/>
      <c r="L1351" s="59"/>
      <c r="M1351" s="59"/>
      <c r="N1351" s="21"/>
      <c r="O1351" s="59"/>
      <c r="P1351" s="59"/>
      <c r="Q1351" s="59"/>
      <c r="R1351" s="59"/>
      <c r="S1351" s="59"/>
      <c r="T1351" s="59"/>
      <c r="U1351" s="59"/>
      <c r="V1351" s="59"/>
      <c r="W1351" s="59"/>
      <c r="X1351" s="59"/>
      <c r="Y1351" s="59"/>
      <c r="Z1351" s="10"/>
      <c r="AA1351" s="74"/>
      <c r="AB1351" s="59"/>
      <c r="AC1351" s="9"/>
    </row>
    <row r="1352">
      <c r="A1352" s="9"/>
      <c r="B1352" s="19"/>
      <c r="C1352" s="9"/>
      <c r="D1352" s="9"/>
      <c r="E1352" s="59"/>
      <c r="F1352" s="9"/>
      <c r="G1352" s="9"/>
      <c r="H1352" s="59"/>
      <c r="I1352" s="59"/>
      <c r="J1352" s="59"/>
      <c r="K1352" s="59"/>
      <c r="L1352" s="59"/>
      <c r="M1352" s="59"/>
      <c r="N1352" s="21"/>
      <c r="O1352" s="59"/>
      <c r="P1352" s="59"/>
      <c r="Q1352" s="59"/>
      <c r="R1352" s="59"/>
      <c r="S1352" s="59"/>
      <c r="T1352" s="59"/>
      <c r="U1352" s="59"/>
      <c r="V1352" s="59"/>
      <c r="W1352" s="59"/>
      <c r="X1352" s="59"/>
      <c r="Y1352" s="59"/>
      <c r="Z1352" s="10"/>
      <c r="AA1352" s="74"/>
      <c r="AB1352" s="59"/>
      <c r="AC1352" s="9"/>
    </row>
    <row r="1353">
      <c r="A1353" s="9"/>
      <c r="B1353" s="19"/>
      <c r="C1353" s="9"/>
      <c r="D1353" s="9"/>
      <c r="E1353" s="59"/>
      <c r="F1353" s="9"/>
      <c r="G1353" s="9"/>
      <c r="H1353" s="59"/>
      <c r="I1353" s="59"/>
      <c r="J1353" s="59"/>
      <c r="K1353" s="59"/>
      <c r="L1353" s="59"/>
      <c r="M1353" s="59"/>
      <c r="N1353" s="21"/>
      <c r="O1353" s="59"/>
      <c r="P1353" s="59"/>
      <c r="Q1353" s="59"/>
      <c r="R1353" s="59"/>
      <c r="S1353" s="59"/>
      <c r="T1353" s="59"/>
      <c r="U1353" s="59"/>
      <c r="V1353" s="59"/>
      <c r="W1353" s="59"/>
      <c r="X1353" s="59"/>
      <c r="Y1353" s="59"/>
      <c r="Z1353" s="10"/>
      <c r="AA1353" s="74"/>
      <c r="AB1353" s="59"/>
      <c r="AC1353" s="9"/>
    </row>
    <row r="1354">
      <c r="A1354" s="9"/>
      <c r="B1354" s="19"/>
      <c r="C1354" s="9"/>
      <c r="D1354" s="9"/>
      <c r="E1354" s="59"/>
      <c r="F1354" s="9"/>
      <c r="G1354" s="9"/>
      <c r="H1354" s="59"/>
      <c r="I1354" s="59"/>
      <c r="J1354" s="59"/>
      <c r="K1354" s="59"/>
      <c r="L1354" s="59"/>
      <c r="M1354" s="59"/>
      <c r="N1354" s="21"/>
      <c r="O1354" s="59"/>
      <c r="P1354" s="59"/>
      <c r="Q1354" s="59"/>
      <c r="R1354" s="59"/>
      <c r="S1354" s="59"/>
      <c r="T1354" s="59"/>
      <c r="U1354" s="59"/>
      <c r="V1354" s="59"/>
      <c r="W1354" s="59"/>
      <c r="X1354" s="59"/>
      <c r="Y1354" s="59"/>
      <c r="Z1354" s="10"/>
      <c r="AA1354" s="74"/>
      <c r="AB1354" s="59"/>
      <c r="AC1354" s="9"/>
    </row>
    <row r="1355">
      <c r="A1355" s="9"/>
      <c r="B1355" s="19"/>
      <c r="C1355" s="9"/>
      <c r="D1355" s="9"/>
      <c r="E1355" s="59"/>
      <c r="F1355" s="9"/>
      <c r="G1355" s="9"/>
      <c r="H1355" s="59"/>
      <c r="I1355" s="59"/>
      <c r="J1355" s="59"/>
      <c r="K1355" s="59"/>
      <c r="L1355" s="59"/>
      <c r="M1355" s="59"/>
      <c r="N1355" s="21"/>
      <c r="O1355" s="59"/>
      <c r="P1355" s="59"/>
      <c r="Q1355" s="59"/>
      <c r="R1355" s="59"/>
      <c r="S1355" s="59"/>
      <c r="T1355" s="59"/>
      <c r="U1355" s="59"/>
      <c r="V1355" s="59"/>
      <c r="W1355" s="59"/>
      <c r="X1355" s="59"/>
      <c r="Y1355" s="59"/>
      <c r="Z1355" s="10"/>
      <c r="AA1355" s="74"/>
      <c r="AB1355" s="59"/>
      <c r="AC1355" s="9"/>
    </row>
    <row r="1356">
      <c r="A1356" s="9"/>
      <c r="B1356" s="19"/>
      <c r="C1356" s="9"/>
      <c r="D1356" s="9"/>
      <c r="E1356" s="59"/>
      <c r="F1356" s="9"/>
      <c r="G1356" s="9"/>
      <c r="H1356" s="59"/>
      <c r="I1356" s="59"/>
      <c r="J1356" s="59"/>
      <c r="K1356" s="59"/>
      <c r="L1356" s="59"/>
      <c r="M1356" s="59"/>
      <c r="N1356" s="21"/>
      <c r="O1356" s="59"/>
      <c r="P1356" s="59"/>
      <c r="Q1356" s="59"/>
      <c r="R1356" s="59"/>
      <c r="S1356" s="59"/>
      <c r="T1356" s="59"/>
      <c r="U1356" s="59"/>
      <c r="V1356" s="59"/>
      <c r="W1356" s="59"/>
      <c r="X1356" s="59"/>
      <c r="Y1356" s="59"/>
      <c r="Z1356" s="10"/>
      <c r="AA1356" s="74"/>
      <c r="AB1356" s="59"/>
      <c r="AC1356" s="9"/>
    </row>
    <row r="1357">
      <c r="A1357" s="9"/>
      <c r="B1357" s="19"/>
      <c r="C1357" s="9"/>
      <c r="D1357" s="9"/>
      <c r="E1357" s="59"/>
      <c r="F1357" s="9"/>
      <c r="G1357" s="9"/>
      <c r="H1357" s="59"/>
      <c r="I1357" s="59"/>
      <c r="J1357" s="59"/>
      <c r="K1357" s="59"/>
      <c r="L1357" s="59"/>
      <c r="M1357" s="59"/>
      <c r="N1357" s="21"/>
      <c r="O1357" s="59"/>
      <c r="P1357" s="59"/>
      <c r="Q1357" s="59"/>
      <c r="R1357" s="59"/>
      <c r="S1357" s="59"/>
      <c r="T1357" s="59"/>
      <c r="U1357" s="59"/>
      <c r="V1357" s="59"/>
      <c r="W1357" s="59"/>
      <c r="X1357" s="59"/>
      <c r="Y1357" s="59"/>
      <c r="Z1357" s="10"/>
      <c r="AA1357" s="74"/>
      <c r="AB1357" s="59"/>
      <c r="AC1357" s="9"/>
    </row>
    <row r="1358">
      <c r="A1358" s="9"/>
      <c r="B1358" s="19"/>
      <c r="C1358" s="9"/>
      <c r="D1358" s="9"/>
      <c r="E1358" s="59"/>
      <c r="F1358" s="9"/>
      <c r="G1358" s="9"/>
      <c r="H1358" s="59"/>
      <c r="I1358" s="59"/>
      <c r="J1358" s="59"/>
      <c r="K1358" s="59"/>
      <c r="L1358" s="59"/>
      <c r="M1358" s="59"/>
      <c r="N1358" s="21"/>
      <c r="O1358" s="59"/>
      <c r="P1358" s="59"/>
      <c r="Q1358" s="59"/>
      <c r="R1358" s="59"/>
      <c r="S1358" s="59"/>
      <c r="T1358" s="59"/>
      <c r="U1358" s="59"/>
      <c r="V1358" s="59"/>
      <c r="W1358" s="59"/>
      <c r="X1358" s="59"/>
      <c r="Y1358" s="59"/>
      <c r="Z1358" s="10"/>
      <c r="AA1358" s="74"/>
      <c r="AB1358" s="59"/>
      <c r="AC1358" s="9"/>
    </row>
    <row r="1359">
      <c r="A1359" s="9"/>
      <c r="B1359" s="19"/>
      <c r="C1359" s="9"/>
      <c r="D1359" s="9"/>
      <c r="E1359" s="59"/>
      <c r="F1359" s="9"/>
      <c r="G1359" s="9"/>
      <c r="H1359" s="59"/>
      <c r="I1359" s="59"/>
      <c r="J1359" s="59"/>
      <c r="K1359" s="59"/>
      <c r="L1359" s="59"/>
      <c r="M1359" s="59"/>
      <c r="N1359" s="21"/>
      <c r="O1359" s="59"/>
      <c r="P1359" s="59"/>
      <c r="Q1359" s="59"/>
      <c r="R1359" s="59"/>
      <c r="S1359" s="59"/>
      <c r="T1359" s="59"/>
      <c r="U1359" s="59"/>
      <c r="V1359" s="59"/>
      <c r="W1359" s="59"/>
      <c r="X1359" s="59"/>
      <c r="Y1359" s="59"/>
      <c r="Z1359" s="10"/>
      <c r="AA1359" s="74"/>
      <c r="AB1359" s="59"/>
      <c r="AC1359" s="9"/>
    </row>
    <row r="1360">
      <c r="A1360" s="9"/>
      <c r="B1360" s="19"/>
      <c r="C1360" s="9"/>
      <c r="D1360" s="9"/>
      <c r="E1360" s="59"/>
      <c r="F1360" s="9"/>
      <c r="G1360" s="9"/>
      <c r="H1360" s="59"/>
      <c r="I1360" s="59"/>
      <c r="J1360" s="59"/>
      <c r="K1360" s="59"/>
      <c r="L1360" s="59"/>
      <c r="M1360" s="59"/>
      <c r="N1360" s="21"/>
      <c r="O1360" s="59"/>
      <c r="P1360" s="59"/>
      <c r="Q1360" s="59"/>
      <c r="R1360" s="59"/>
      <c r="S1360" s="59"/>
      <c r="T1360" s="59"/>
      <c r="U1360" s="59"/>
      <c r="V1360" s="59"/>
      <c r="W1360" s="59"/>
      <c r="X1360" s="59"/>
      <c r="Y1360" s="59"/>
      <c r="Z1360" s="10"/>
      <c r="AA1360" s="74"/>
      <c r="AB1360" s="59"/>
      <c r="AC1360" s="9"/>
    </row>
    <row r="1361">
      <c r="A1361" s="9"/>
      <c r="B1361" s="19"/>
      <c r="C1361" s="9"/>
      <c r="D1361" s="9"/>
      <c r="E1361" s="59"/>
      <c r="F1361" s="9"/>
      <c r="G1361" s="9"/>
      <c r="H1361" s="59"/>
      <c r="I1361" s="59"/>
      <c r="J1361" s="59"/>
      <c r="K1361" s="59"/>
      <c r="L1361" s="59"/>
      <c r="M1361" s="59"/>
      <c r="N1361" s="21"/>
      <c r="O1361" s="59"/>
      <c r="P1361" s="59"/>
      <c r="Q1361" s="59"/>
      <c r="R1361" s="59"/>
      <c r="S1361" s="59"/>
      <c r="T1361" s="59"/>
      <c r="U1361" s="59"/>
      <c r="V1361" s="59"/>
      <c r="W1361" s="59"/>
      <c r="X1361" s="59"/>
      <c r="Y1361" s="59"/>
      <c r="Z1361" s="10"/>
      <c r="AA1361" s="74"/>
      <c r="AB1361" s="59"/>
      <c r="AC1361" s="9"/>
    </row>
    <row r="1362">
      <c r="A1362" s="9"/>
      <c r="B1362" s="19"/>
      <c r="C1362" s="9"/>
      <c r="D1362" s="9"/>
      <c r="E1362" s="59"/>
      <c r="F1362" s="9"/>
      <c r="G1362" s="9"/>
      <c r="H1362" s="59"/>
      <c r="I1362" s="59"/>
      <c r="J1362" s="59"/>
      <c r="K1362" s="59"/>
      <c r="L1362" s="59"/>
      <c r="M1362" s="59"/>
      <c r="N1362" s="21"/>
      <c r="O1362" s="59"/>
      <c r="P1362" s="59"/>
      <c r="Q1362" s="59"/>
      <c r="R1362" s="59"/>
      <c r="S1362" s="59"/>
      <c r="T1362" s="59"/>
      <c r="U1362" s="59"/>
      <c r="V1362" s="59"/>
      <c r="W1362" s="59"/>
      <c r="X1362" s="59"/>
      <c r="Y1362" s="59"/>
      <c r="Z1362" s="10"/>
      <c r="AA1362" s="74"/>
      <c r="AB1362" s="59"/>
      <c r="AC1362" s="9"/>
    </row>
    <row r="1363">
      <c r="A1363" s="9"/>
      <c r="B1363" s="19"/>
      <c r="C1363" s="9"/>
      <c r="D1363" s="9"/>
      <c r="E1363" s="59"/>
      <c r="F1363" s="9"/>
      <c r="G1363" s="9"/>
      <c r="H1363" s="59"/>
      <c r="I1363" s="59"/>
      <c r="J1363" s="59"/>
      <c r="K1363" s="59"/>
      <c r="L1363" s="59"/>
      <c r="M1363" s="59"/>
      <c r="N1363" s="21"/>
      <c r="O1363" s="59"/>
      <c r="P1363" s="59"/>
      <c r="Q1363" s="59"/>
      <c r="R1363" s="59"/>
      <c r="S1363" s="59"/>
      <c r="T1363" s="59"/>
      <c r="U1363" s="59"/>
      <c r="V1363" s="59"/>
      <c r="W1363" s="59"/>
      <c r="X1363" s="59"/>
      <c r="Y1363" s="59"/>
      <c r="Z1363" s="10"/>
      <c r="AA1363" s="74"/>
      <c r="AB1363" s="59"/>
      <c r="AC1363" s="9"/>
    </row>
    <row r="1364">
      <c r="A1364" s="9"/>
      <c r="B1364" s="19"/>
      <c r="C1364" s="9"/>
      <c r="D1364" s="9"/>
      <c r="E1364" s="59"/>
      <c r="F1364" s="9"/>
      <c r="G1364" s="9"/>
      <c r="H1364" s="59"/>
      <c r="I1364" s="59"/>
      <c r="J1364" s="59"/>
      <c r="K1364" s="59"/>
      <c r="L1364" s="59"/>
      <c r="M1364" s="59"/>
      <c r="N1364" s="21"/>
      <c r="O1364" s="59"/>
      <c r="P1364" s="59"/>
      <c r="Q1364" s="59"/>
      <c r="R1364" s="59"/>
      <c r="S1364" s="59"/>
      <c r="T1364" s="59"/>
      <c r="U1364" s="59"/>
      <c r="V1364" s="59"/>
      <c r="W1364" s="59"/>
      <c r="X1364" s="59"/>
      <c r="Y1364" s="59"/>
      <c r="Z1364" s="10"/>
      <c r="AA1364" s="74"/>
      <c r="AB1364" s="59"/>
      <c r="AC1364" s="9"/>
    </row>
    <row r="1365">
      <c r="A1365" s="9"/>
      <c r="B1365" s="19"/>
      <c r="C1365" s="9"/>
      <c r="D1365" s="9"/>
      <c r="E1365" s="59"/>
      <c r="F1365" s="9"/>
      <c r="G1365" s="9"/>
      <c r="H1365" s="59"/>
      <c r="I1365" s="59"/>
      <c r="J1365" s="59"/>
      <c r="K1365" s="59"/>
      <c r="L1365" s="59"/>
      <c r="M1365" s="59"/>
      <c r="N1365" s="21"/>
      <c r="O1365" s="59"/>
      <c r="P1365" s="59"/>
      <c r="Q1365" s="59"/>
      <c r="R1365" s="59"/>
      <c r="S1365" s="59"/>
      <c r="T1365" s="59"/>
      <c r="U1365" s="59"/>
      <c r="V1365" s="59"/>
      <c r="W1365" s="59"/>
      <c r="X1365" s="59"/>
      <c r="Y1365" s="59"/>
      <c r="Z1365" s="10"/>
      <c r="AA1365" s="74"/>
      <c r="AB1365" s="59"/>
      <c r="AC1365" s="9"/>
    </row>
    <row r="1366">
      <c r="A1366" s="9"/>
      <c r="B1366" s="19"/>
      <c r="C1366" s="9"/>
      <c r="D1366" s="9"/>
      <c r="E1366" s="59"/>
      <c r="F1366" s="9"/>
      <c r="G1366" s="9"/>
      <c r="H1366" s="59"/>
      <c r="I1366" s="59"/>
      <c r="J1366" s="59"/>
      <c r="K1366" s="59"/>
      <c r="L1366" s="59"/>
      <c r="M1366" s="59"/>
      <c r="N1366" s="21"/>
      <c r="O1366" s="59"/>
      <c r="P1366" s="59"/>
      <c r="Q1366" s="59"/>
      <c r="R1366" s="59"/>
      <c r="S1366" s="59"/>
      <c r="T1366" s="59"/>
      <c r="U1366" s="59"/>
      <c r="V1366" s="59"/>
      <c r="W1366" s="59"/>
      <c r="X1366" s="59"/>
      <c r="Y1366" s="59"/>
      <c r="Z1366" s="10"/>
      <c r="AA1366" s="74"/>
      <c r="AB1366" s="59"/>
      <c r="AC1366" s="9"/>
    </row>
    <row r="1367">
      <c r="A1367" s="9"/>
      <c r="B1367" s="19"/>
      <c r="C1367" s="9"/>
      <c r="D1367" s="9"/>
      <c r="E1367" s="59"/>
      <c r="F1367" s="9"/>
      <c r="G1367" s="9"/>
      <c r="H1367" s="59"/>
      <c r="I1367" s="59"/>
      <c r="J1367" s="59"/>
      <c r="K1367" s="59"/>
      <c r="L1367" s="59"/>
      <c r="M1367" s="59"/>
      <c r="N1367" s="21"/>
      <c r="O1367" s="59"/>
      <c r="P1367" s="59"/>
      <c r="Q1367" s="59"/>
      <c r="R1367" s="59"/>
      <c r="S1367" s="59"/>
      <c r="T1367" s="59"/>
      <c r="U1367" s="59"/>
      <c r="V1367" s="59"/>
      <c r="W1367" s="59"/>
      <c r="X1367" s="59"/>
      <c r="Y1367" s="59"/>
      <c r="Z1367" s="10"/>
      <c r="AA1367" s="74"/>
      <c r="AB1367" s="59"/>
      <c r="AC1367" s="9"/>
    </row>
    <row r="1368">
      <c r="A1368" s="9"/>
      <c r="B1368" s="19"/>
      <c r="C1368" s="9"/>
      <c r="D1368" s="9"/>
      <c r="E1368" s="59"/>
      <c r="F1368" s="9"/>
      <c r="G1368" s="9"/>
      <c r="H1368" s="59"/>
      <c r="I1368" s="59"/>
      <c r="J1368" s="59"/>
      <c r="K1368" s="59"/>
      <c r="L1368" s="59"/>
      <c r="M1368" s="59"/>
      <c r="N1368" s="21"/>
      <c r="O1368" s="59"/>
      <c r="P1368" s="59"/>
      <c r="Q1368" s="59"/>
      <c r="R1368" s="59"/>
      <c r="S1368" s="59"/>
      <c r="T1368" s="59"/>
      <c r="U1368" s="59"/>
      <c r="V1368" s="59"/>
      <c r="W1368" s="59"/>
      <c r="X1368" s="59"/>
      <c r="Y1368" s="59"/>
      <c r="Z1368" s="10"/>
      <c r="AA1368" s="74"/>
      <c r="AB1368" s="59"/>
      <c r="AC1368" s="9"/>
    </row>
    <row r="1369">
      <c r="A1369" s="9"/>
      <c r="B1369" s="19"/>
      <c r="C1369" s="9"/>
      <c r="D1369" s="9"/>
      <c r="E1369" s="59"/>
      <c r="F1369" s="9"/>
      <c r="G1369" s="9"/>
      <c r="H1369" s="59"/>
      <c r="I1369" s="59"/>
      <c r="J1369" s="59"/>
      <c r="K1369" s="59"/>
      <c r="L1369" s="59"/>
      <c r="M1369" s="59"/>
      <c r="N1369" s="21"/>
      <c r="O1369" s="59"/>
      <c r="P1369" s="59"/>
      <c r="Q1369" s="59"/>
      <c r="R1369" s="59"/>
      <c r="S1369" s="59"/>
      <c r="T1369" s="59"/>
      <c r="U1369" s="59"/>
      <c r="V1369" s="59"/>
      <c r="W1369" s="59"/>
      <c r="X1369" s="59"/>
      <c r="Y1369" s="59"/>
      <c r="Z1369" s="10"/>
      <c r="AA1369" s="74"/>
      <c r="AB1369" s="59"/>
      <c r="AC1369" s="9"/>
    </row>
    <row r="1370">
      <c r="A1370" s="9"/>
      <c r="B1370" s="19"/>
      <c r="C1370" s="9"/>
      <c r="D1370" s="9"/>
      <c r="E1370" s="59"/>
      <c r="F1370" s="9"/>
      <c r="G1370" s="9"/>
      <c r="H1370" s="59"/>
      <c r="I1370" s="59"/>
      <c r="J1370" s="59"/>
      <c r="K1370" s="59"/>
      <c r="L1370" s="59"/>
      <c r="M1370" s="59"/>
      <c r="N1370" s="21"/>
      <c r="O1370" s="59"/>
      <c r="P1370" s="59"/>
      <c r="Q1370" s="59"/>
      <c r="R1370" s="59"/>
      <c r="S1370" s="59"/>
      <c r="T1370" s="59"/>
      <c r="U1370" s="59"/>
      <c r="V1370" s="59"/>
      <c r="W1370" s="59"/>
      <c r="X1370" s="59"/>
      <c r="Y1370" s="59"/>
      <c r="Z1370" s="10"/>
      <c r="AA1370" s="74"/>
      <c r="AB1370" s="59"/>
      <c r="AC1370" s="9"/>
    </row>
    <row r="1371">
      <c r="A1371" s="9"/>
      <c r="B1371" s="19"/>
      <c r="C1371" s="9"/>
      <c r="D1371" s="9"/>
      <c r="E1371" s="59"/>
      <c r="F1371" s="9"/>
      <c r="G1371" s="9"/>
      <c r="H1371" s="59"/>
      <c r="I1371" s="59"/>
      <c r="J1371" s="59"/>
      <c r="K1371" s="59"/>
      <c r="L1371" s="59"/>
      <c r="M1371" s="59"/>
      <c r="N1371" s="21"/>
      <c r="O1371" s="59"/>
      <c r="P1371" s="59"/>
      <c r="Q1371" s="59"/>
      <c r="R1371" s="59"/>
      <c r="S1371" s="59"/>
      <c r="T1371" s="59"/>
      <c r="U1371" s="59"/>
      <c r="V1371" s="59"/>
      <c r="W1371" s="59"/>
      <c r="X1371" s="59"/>
      <c r="Y1371" s="59"/>
      <c r="Z1371" s="10"/>
      <c r="AA1371" s="74"/>
      <c r="AB1371" s="59"/>
      <c r="AC1371" s="9"/>
    </row>
    <row r="1372">
      <c r="A1372" s="9"/>
      <c r="B1372" s="19"/>
      <c r="C1372" s="9"/>
      <c r="D1372" s="9"/>
      <c r="E1372" s="59"/>
      <c r="F1372" s="9"/>
      <c r="G1372" s="9"/>
      <c r="H1372" s="59"/>
      <c r="I1372" s="59"/>
      <c r="J1372" s="59"/>
      <c r="K1372" s="59"/>
      <c r="L1372" s="59"/>
      <c r="M1372" s="59"/>
      <c r="N1372" s="21"/>
      <c r="O1372" s="59"/>
      <c r="P1372" s="59"/>
      <c r="Q1372" s="59"/>
      <c r="R1372" s="59"/>
      <c r="S1372" s="59"/>
      <c r="T1372" s="59"/>
      <c r="U1372" s="59"/>
      <c r="V1372" s="59"/>
      <c r="W1372" s="59"/>
      <c r="X1372" s="59"/>
      <c r="Y1372" s="59"/>
      <c r="Z1372" s="10"/>
      <c r="AA1372" s="74"/>
      <c r="AB1372" s="59"/>
      <c r="AC1372" s="9"/>
    </row>
    <row r="1373">
      <c r="A1373" s="9"/>
      <c r="B1373" s="19"/>
      <c r="C1373" s="9"/>
      <c r="D1373" s="9"/>
      <c r="E1373" s="59"/>
      <c r="F1373" s="9"/>
      <c r="G1373" s="9"/>
      <c r="H1373" s="59"/>
      <c r="I1373" s="59"/>
      <c r="J1373" s="59"/>
      <c r="K1373" s="59"/>
      <c r="L1373" s="59"/>
      <c r="M1373" s="59"/>
      <c r="N1373" s="21"/>
      <c r="O1373" s="59"/>
      <c r="P1373" s="59"/>
      <c r="Q1373" s="59"/>
      <c r="R1373" s="59"/>
      <c r="S1373" s="59"/>
      <c r="T1373" s="59"/>
      <c r="U1373" s="59"/>
      <c r="V1373" s="59"/>
      <c r="W1373" s="59"/>
      <c r="X1373" s="59"/>
      <c r="Y1373" s="59"/>
      <c r="Z1373" s="10"/>
      <c r="AA1373" s="74"/>
      <c r="AB1373" s="59"/>
      <c r="AC1373" s="9"/>
    </row>
    <row r="1374">
      <c r="A1374" s="9"/>
      <c r="B1374" s="19"/>
      <c r="C1374" s="9"/>
      <c r="D1374" s="9"/>
      <c r="E1374" s="59"/>
      <c r="F1374" s="9"/>
      <c r="G1374" s="9"/>
      <c r="H1374" s="59"/>
      <c r="I1374" s="59"/>
      <c r="J1374" s="59"/>
      <c r="K1374" s="59"/>
      <c r="L1374" s="59"/>
      <c r="M1374" s="59"/>
      <c r="N1374" s="21"/>
      <c r="O1374" s="59"/>
      <c r="P1374" s="59"/>
      <c r="Q1374" s="59"/>
      <c r="R1374" s="59"/>
      <c r="S1374" s="59"/>
      <c r="T1374" s="59"/>
      <c r="U1374" s="59"/>
      <c r="V1374" s="59"/>
      <c r="W1374" s="59"/>
      <c r="X1374" s="59"/>
      <c r="Y1374" s="59"/>
      <c r="Z1374" s="10"/>
      <c r="AA1374" s="74"/>
      <c r="AB1374" s="59"/>
      <c r="AC1374" s="9"/>
    </row>
    <row r="1375">
      <c r="A1375" s="9"/>
      <c r="B1375" s="19"/>
      <c r="C1375" s="9"/>
      <c r="D1375" s="9"/>
      <c r="E1375" s="59"/>
      <c r="F1375" s="9"/>
      <c r="G1375" s="9"/>
      <c r="H1375" s="59"/>
      <c r="I1375" s="59"/>
      <c r="J1375" s="59"/>
      <c r="K1375" s="59"/>
      <c r="L1375" s="59"/>
      <c r="M1375" s="59"/>
      <c r="N1375" s="21"/>
      <c r="O1375" s="59"/>
      <c r="P1375" s="59"/>
      <c r="Q1375" s="59"/>
      <c r="R1375" s="59"/>
      <c r="S1375" s="59"/>
      <c r="T1375" s="59"/>
      <c r="U1375" s="59"/>
      <c r="V1375" s="59"/>
      <c r="W1375" s="59"/>
      <c r="X1375" s="59"/>
      <c r="Y1375" s="59"/>
      <c r="Z1375" s="10"/>
      <c r="AA1375" s="74"/>
      <c r="AB1375" s="59"/>
      <c r="AC1375" s="9"/>
    </row>
    <row r="1376">
      <c r="A1376" s="9"/>
      <c r="B1376" s="19"/>
      <c r="C1376" s="9"/>
      <c r="D1376" s="9"/>
      <c r="E1376" s="59"/>
      <c r="F1376" s="9"/>
      <c r="G1376" s="9"/>
      <c r="H1376" s="59"/>
      <c r="I1376" s="59"/>
      <c r="J1376" s="59"/>
      <c r="K1376" s="59"/>
      <c r="L1376" s="59"/>
      <c r="M1376" s="59"/>
      <c r="N1376" s="21"/>
      <c r="O1376" s="59"/>
      <c r="P1376" s="59"/>
      <c r="Q1376" s="59"/>
      <c r="R1376" s="59"/>
      <c r="S1376" s="59"/>
      <c r="T1376" s="59"/>
      <c r="U1376" s="59"/>
      <c r="V1376" s="59"/>
      <c r="W1376" s="59"/>
      <c r="X1376" s="59"/>
      <c r="Y1376" s="59"/>
      <c r="Z1376" s="10"/>
      <c r="AA1376" s="74"/>
      <c r="AB1376" s="59"/>
      <c r="AC1376" s="9"/>
    </row>
    <row r="1377">
      <c r="A1377" s="9"/>
      <c r="B1377" s="19"/>
      <c r="C1377" s="9"/>
      <c r="D1377" s="9"/>
      <c r="E1377" s="59"/>
      <c r="F1377" s="9"/>
      <c r="G1377" s="9"/>
      <c r="H1377" s="59"/>
      <c r="I1377" s="59"/>
      <c r="J1377" s="59"/>
      <c r="K1377" s="59"/>
      <c r="L1377" s="59"/>
      <c r="M1377" s="59"/>
      <c r="N1377" s="21"/>
      <c r="O1377" s="59"/>
      <c r="P1377" s="59"/>
      <c r="Q1377" s="59"/>
      <c r="R1377" s="59"/>
      <c r="S1377" s="59"/>
      <c r="T1377" s="59"/>
      <c r="U1377" s="59"/>
      <c r="V1377" s="59"/>
      <c r="W1377" s="59"/>
      <c r="X1377" s="59"/>
      <c r="Y1377" s="59"/>
      <c r="Z1377" s="10"/>
      <c r="AA1377" s="74"/>
      <c r="AB1377" s="59"/>
      <c r="AC1377" s="9"/>
    </row>
    <row r="1378">
      <c r="A1378" s="9"/>
      <c r="B1378" s="19"/>
      <c r="C1378" s="9"/>
      <c r="D1378" s="9"/>
      <c r="E1378" s="59"/>
      <c r="F1378" s="9"/>
      <c r="G1378" s="9"/>
      <c r="H1378" s="59"/>
      <c r="I1378" s="59"/>
      <c r="J1378" s="59"/>
      <c r="K1378" s="59"/>
      <c r="L1378" s="59"/>
      <c r="M1378" s="59"/>
      <c r="N1378" s="21"/>
      <c r="O1378" s="59"/>
      <c r="P1378" s="59"/>
      <c r="Q1378" s="59"/>
      <c r="R1378" s="59"/>
      <c r="S1378" s="59"/>
      <c r="T1378" s="59"/>
      <c r="U1378" s="59"/>
      <c r="V1378" s="59"/>
      <c r="W1378" s="59"/>
      <c r="X1378" s="59"/>
      <c r="Y1378" s="59"/>
      <c r="Z1378" s="10"/>
      <c r="AA1378" s="74"/>
      <c r="AB1378" s="59"/>
      <c r="AC1378" s="9"/>
    </row>
    <row r="1379">
      <c r="A1379" s="9"/>
      <c r="B1379" s="19"/>
      <c r="C1379" s="9"/>
      <c r="D1379" s="9"/>
      <c r="E1379" s="59"/>
      <c r="F1379" s="9"/>
      <c r="G1379" s="9"/>
      <c r="H1379" s="59"/>
      <c r="I1379" s="59"/>
      <c r="J1379" s="59"/>
      <c r="K1379" s="59"/>
      <c r="L1379" s="59"/>
      <c r="M1379" s="59"/>
      <c r="N1379" s="21"/>
      <c r="O1379" s="59"/>
      <c r="P1379" s="59"/>
      <c r="Q1379" s="59"/>
      <c r="R1379" s="59"/>
      <c r="S1379" s="59"/>
      <c r="T1379" s="59"/>
      <c r="U1379" s="59"/>
      <c r="V1379" s="59"/>
      <c r="W1379" s="59"/>
      <c r="X1379" s="59"/>
      <c r="Y1379" s="59"/>
      <c r="Z1379" s="10"/>
      <c r="AA1379" s="74"/>
      <c r="AB1379" s="59"/>
      <c r="AC1379" s="9"/>
    </row>
    <row r="1380">
      <c r="A1380" s="9"/>
      <c r="B1380" s="19"/>
      <c r="C1380" s="9"/>
      <c r="D1380" s="9"/>
      <c r="E1380" s="59"/>
      <c r="F1380" s="9"/>
      <c r="G1380" s="9"/>
      <c r="H1380" s="59"/>
      <c r="I1380" s="59"/>
      <c r="J1380" s="59"/>
      <c r="K1380" s="59"/>
      <c r="L1380" s="59"/>
      <c r="M1380" s="59"/>
      <c r="N1380" s="21"/>
      <c r="O1380" s="59"/>
      <c r="P1380" s="59"/>
      <c r="Q1380" s="59"/>
      <c r="R1380" s="59"/>
      <c r="S1380" s="59"/>
      <c r="T1380" s="59"/>
      <c r="U1380" s="59"/>
      <c r="V1380" s="59"/>
      <c r="W1380" s="59"/>
      <c r="X1380" s="59"/>
      <c r="Y1380" s="59"/>
      <c r="Z1380" s="10"/>
      <c r="AA1380" s="74"/>
      <c r="AB1380" s="59"/>
      <c r="AC1380" s="9"/>
    </row>
    <row r="1381">
      <c r="A1381" s="9"/>
      <c r="B1381" s="19"/>
      <c r="C1381" s="9"/>
      <c r="D1381" s="9"/>
      <c r="E1381" s="59"/>
      <c r="F1381" s="9"/>
      <c r="G1381" s="9"/>
      <c r="H1381" s="59"/>
      <c r="I1381" s="59"/>
      <c r="J1381" s="59"/>
      <c r="K1381" s="59"/>
      <c r="L1381" s="59"/>
      <c r="M1381" s="59"/>
      <c r="N1381" s="21"/>
      <c r="O1381" s="59"/>
      <c r="P1381" s="59"/>
      <c r="Q1381" s="59"/>
      <c r="R1381" s="59"/>
      <c r="S1381" s="59"/>
      <c r="T1381" s="59"/>
      <c r="U1381" s="59"/>
      <c r="V1381" s="59"/>
      <c r="W1381" s="59"/>
      <c r="X1381" s="59"/>
      <c r="Y1381" s="59"/>
      <c r="Z1381" s="10"/>
      <c r="AA1381" s="74"/>
      <c r="AB1381" s="59"/>
      <c r="AC1381" s="9"/>
    </row>
    <row r="1382">
      <c r="A1382" s="9"/>
      <c r="B1382" s="19"/>
      <c r="C1382" s="9"/>
      <c r="D1382" s="9"/>
      <c r="E1382" s="59"/>
      <c r="F1382" s="9"/>
      <c r="G1382" s="9"/>
      <c r="H1382" s="59"/>
      <c r="I1382" s="59"/>
      <c r="J1382" s="59"/>
      <c r="K1382" s="59"/>
      <c r="L1382" s="59"/>
      <c r="M1382" s="59"/>
      <c r="N1382" s="21"/>
      <c r="O1382" s="59"/>
      <c r="P1382" s="59"/>
      <c r="Q1382" s="59"/>
      <c r="R1382" s="59"/>
      <c r="S1382" s="59"/>
      <c r="T1382" s="59"/>
      <c r="U1382" s="59"/>
      <c r="V1382" s="59"/>
      <c r="W1382" s="59"/>
      <c r="X1382" s="59"/>
      <c r="Y1382" s="59"/>
      <c r="Z1382" s="10"/>
      <c r="AA1382" s="74"/>
      <c r="AB1382" s="59"/>
      <c r="AC1382" s="9"/>
    </row>
    <row r="1383">
      <c r="A1383" s="9"/>
      <c r="B1383" s="19"/>
      <c r="C1383" s="9"/>
      <c r="D1383" s="9"/>
      <c r="E1383" s="59"/>
      <c r="F1383" s="9"/>
      <c r="G1383" s="9"/>
      <c r="H1383" s="59"/>
      <c r="I1383" s="59"/>
      <c r="J1383" s="59"/>
      <c r="K1383" s="59"/>
      <c r="L1383" s="59"/>
      <c r="M1383" s="59"/>
      <c r="N1383" s="21"/>
      <c r="O1383" s="59"/>
      <c r="P1383" s="59"/>
      <c r="Q1383" s="59"/>
      <c r="R1383" s="59"/>
      <c r="S1383" s="59"/>
      <c r="T1383" s="59"/>
      <c r="U1383" s="59"/>
      <c r="V1383" s="59"/>
      <c r="W1383" s="59"/>
      <c r="X1383" s="59"/>
      <c r="Y1383" s="59"/>
      <c r="Z1383" s="10"/>
      <c r="AA1383" s="74"/>
      <c r="AB1383" s="59"/>
      <c r="AC1383" s="9"/>
    </row>
    <row r="1384">
      <c r="A1384" s="9"/>
      <c r="B1384" s="19"/>
      <c r="C1384" s="9"/>
      <c r="D1384" s="9"/>
      <c r="E1384" s="59"/>
      <c r="F1384" s="9"/>
      <c r="G1384" s="9"/>
      <c r="H1384" s="59"/>
      <c r="I1384" s="59"/>
      <c r="J1384" s="59"/>
      <c r="K1384" s="59"/>
      <c r="L1384" s="59"/>
      <c r="M1384" s="59"/>
      <c r="N1384" s="21"/>
      <c r="O1384" s="59"/>
      <c r="P1384" s="59"/>
      <c r="Q1384" s="59"/>
      <c r="R1384" s="59"/>
      <c r="S1384" s="59"/>
      <c r="T1384" s="59"/>
      <c r="U1384" s="59"/>
      <c r="V1384" s="59"/>
      <c r="W1384" s="59"/>
      <c r="X1384" s="59"/>
      <c r="Y1384" s="59"/>
      <c r="Z1384" s="10"/>
      <c r="AA1384" s="74"/>
      <c r="AB1384" s="59"/>
      <c r="AC1384" s="9"/>
    </row>
    <row r="1385">
      <c r="A1385" s="9"/>
      <c r="B1385" s="19"/>
      <c r="C1385" s="9"/>
      <c r="D1385" s="9"/>
      <c r="E1385" s="59"/>
      <c r="F1385" s="9"/>
      <c r="G1385" s="9"/>
      <c r="H1385" s="59"/>
      <c r="I1385" s="59"/>
      <c r="J1385" s="59"/>
      <c r="K1385" s="59"/>
      <c r="L1385" s="59"/>
      <c r="M1385" s="59"/>
      <c r="N1385" s="21"/>
      <c r="O1385" s="59"/>
      <c r="P1385" s="59"/>
      <c r="Q1385" s="59"/>
      <c r="R1385" s="59"/>
      <c r="S1385" s="59"/>
      <c r="T1385" s="59"/>
      <c r="U1385" s="59"/>
      <c r="V1385" s="59"/>
      <c r="W1385" s="59"/>
      <c r="X1385" s="59"/>
      <c r="Y1385" s="59"/>
      <c r="Z1385" s="10"/>
      <c r="AA1385" s="74"/>
      <c r="AB1385" s="59"/>
      <c r="AC1385" s="9"/>
    </row>
    <row r="1386">
      <c r="A1386" s="9"/>
      <c r="B1386" s="19"/>
      <c r="C1386" s="9"/>
      <c r="D1386" s="9"/>
      <c r="E1386" s="59"/>
      <c r="F1386" s="9"/>
      <c r="G1386" s="9"/>
      <c r="H1386" s="59"/>
      <c r="I1386" s="59"/>
      <c r="J1386" s="59"/>
      <c r="K1386" s="59"/>
      <c r="L1386" s="59"/>
      <c r="M1386" s="59"/>
      <c r="N1386" s="21"/>
      <c r="O1386" s="59"/>
      <c r="P1386" s="59"/>
      <c r="Q1386" s="59"/>
      <c r="R1386" s="59"/>
      <c r="S1386" s="59"/>
      <c r="T1386" s="59"/>
      <c r="U1386" s="59"/>
      <c r="V1386" s="59"/>
      <c r="W1386" s="59"/>
      <c r="X1386" s="59"/>
      <c r="Y1386" s="59"/>
      <c r="Z1386" s="10"/>
      <c r="AA1386" s="74"/>
      <c r="AB1386" s="59"/>
      <c r="AC1386" s="9"/>
    </row>
    <row r="1387">
      <c r="A1387" s="9"/>
      <c r="B1387" s="19"/>
      <c r="C1387" s="9"/>
      <c r="D1387" s="9"/>
      <c r="E1387" s="59"/>
      <c r="F1387" s="9"/>
      <c r="G1387" s="9"/>
      <c r="H1387" s="59"/>
      <c r="I1387" s="59"/>
      <c r="J1387" s="59"/>
      <c r="K1387" s="59"/>
      <c r="L1387" s="59"/>
      <c r="M1387" s="59"/>
      <c r="N1387" s="21"/>
      <c r="O1387" s="59"/>
      <c r="P1387" s="59"/>
      <c r="Q1387" s="59"/>
      <c r="R1387" s="59"/>
      <c r="S1387" s="59"/>
      <c r="T1387" s="59"/>
      <c r="U1387" s="59"/>
      <c r="V1387" s="59"/>
      <c r="W1387" s="59"/>
      <c r="X1387" s="59"/>
      <c r="Y1387" s="59"/>
      <c r="Z1387" s="10"/>
      <c r="AA1387" s="74"/>
      <c r="AB1387" s="59"/>
      <c r="AC1387" s="9"/>
    </row>
    <row r="1388">
      <c r="A1388" s="9"/>
      <c r="B1388" s="19"/>
      <c r="C1388" s="9"/>
      <c r="D1388" s="9"/>
      <c r="E1388" s="59"/>
      <c r="F1388" s="9"/>
      <c r="G1388" s="9"/>
      <c r="H1388" s="59"/>
      <c r="I1388" s="59"/>
      <c r="J1388" s="59"/>
      <c r="K1388" s="59"/>
      <c r="L1388" s="59"/>
      <c r="M1388" s="59"/>
      <c r="N1388" s="21"/>
      <c r="O1388" s="59"/>
      <c r="P1388" s="59"/>
      <c r="Q1388" s="59"/>
      <c r="R1388" s="59"/>
      <c r="S1388" s="59"/>
      <c r="T1388" s="59"/>
      <c r="U1388" s="59"/>
      <c r="V1388" s="59"/>
      <c r="W1388" s="59"/>
      <c r="X1388" s="59"/>
      <c r="Y1388" s="59"/>
      <c r="Z1388" s="10"/>
      <c r="AA1388" s="74"/>
      <c r="AB1388" s="59"/>
      <c r="AC1388" s="9"/>
    </row>
    <row r="1389">
      <c r="A1389" s="9"/>
      <c r="B1389" s="19"/>
      <c r="C1389" s="9"/>
      <c r="D1389" s="9"/>
      <c r="E1389" s="59"/>
      <c r="F1389" s="9"/>
      <c r="G1389" s="9"/>
      <c r="H1389" s="59"/>
      <c r="I1389" s="59"/>
      <c r="J1389" s="59"/>
      <c r="K1389" s="59"/>
      <c r="L1389" s="59"/>
      <c r="M1389" s="59"/>
      <c r="N1389" s="21"/>
      <c r="O1389" s="59"/>
      <c r="P1389" s="59"/>
      <c r="Q1389" s="59"/>
      <c r="R1389" s="59"/>
      <c r="S1389" s="59"/>
      <c r="T1389" s="59"/>
      <c r="U1389" s="59"/>
      <c r="V1389" s="59"/>
      <c r="W1389" s="59"/>
      <c r="X1389" s="59"/>
      <c r="Y1389" s="59"/>
      <c r="Z1389" s="10"/>
      <c r="AA1389" s="74"/>
      <c r="AB1389" s="59"/>
      <c r="AC1389" s="9"/>
    </row>
    <row r="1390">
      <c r="A1390" s="9"/>
      <c r="B1390" s="19"/>
      <c r="C1390" s="9"/>
      <c r="D1390" s="9"/>
      <c r="E1390" s="59"/>
      <c r="F1390" s="9"/>
      <c r="G1390" s="9"/>
      <c r="H1390" s="59"/>
      <c r="I1390" s="59"/>
      <c r="J1390" s="59"/>
      <c r="K1390" s="59"/>
      <c r="L1390" s="59"/>
      <c r="M1390" s="59"/>
      <c r="N1390" s="21"/>
      <c r="O1390" s="59"/>
      <c r="P1390" s="59"/>
      <c r="Q1390" s="59"/>
      <c r="R1390" s="59"/>
      <c r="S1390" s="59"/>
      <c r="T1390" s="59"/>
      <c r="U1390" s="59"/>
      <c r="V1390" s="59"/>
      <c r="W1390" s="59"/>
      <c r="X1390" s="59"/>
      <c r="Y1390" s="59"/>
      <c r="Z1390" s="10"/>
      <c r="AA1390" s="74"/>
      <c r="AB1390" s="59"/>
      <c r="AC1390" s="9"/>
    </row>
    <row r="1391">
      <c r="A1391" s="9"/>
      <c r="B1391" s="19"/>
      <c r="C1391" s="9"/>
      <c r="D1391" s="9"/>
      <c r="E1391" s="59"/>
      <c r="F1391" s="9"/>
      <c r="G1391" s="9"/>
      <c r="H1391" s="59"/>
      <c r="I1391" s="59"/>
      <c r="J1391" s="59"/>
      <c r="K1391" s="59"/>
      <c r="L1391" s="59"/>
      <c r="M1391" s="59"/>
      <c r="N1391" s="21"/>
      <c r="O1391" s="59"/>
      <c r="P1391" s="59"/>
      <c r="Q1391" s="59"/>
      <c r="R1391" s="59"/>
      <c r="S1391" s="59"/>
      <c r="T1391" s="59"/>
      <c r="U1391" s="59"/>
      <c r="V1391" s="59"/>
      <c r="W1391" s="59"/>
      <c r="X1391" s="59"/>
      <c r="Y1391" s="59"/>
      <c r="Z1391" s="10"/>
      <c r="AA1391" s="74"/>
      <c r="AB1391" s="59"/>
      <c r="AC1391" s="9"/>
    </row>
    <row r="1392">
      <c r="A1392" s="9"/>
      <c r="B1392" s="19"/>
      <c r="C1392" s="9"/>
      <c r="D1392" s="9"/>
      <c r="E1392" s="59"/>
      <c r="F1392" s="9"/>
      <c r="G1392" s="9"/>
      <c r="H1392" s="59"/>
      <c r="I1392" s="59"/>
      <c r="J1392" s="59"/>
      <c r="K1392" s="59"/>
      <c r="L1392" s="59"/>
      <c r="M1392" s="59"/>
      <c r="N1392" s="21"/>
      <c r="O1392" s="59"/>
      <c r="P1392" s="59"/>
      <c r="Q1392" s="59"/>
      <c r="R1392" s="59"/>
      <c r="S1392" s="59"/>
      <c r="T1392" s="59"/>
      <c r="U1392" s="59"/>
      <c r="V1392" s="59"/>
      <c r="W1392" s="59"/>
      <c r="X1392" s="59"/>
      <c r="Y1392" s="59"/>
      <c r="Z1392" s="10"/>
      <c r="AA1392" s="74"/>
      <c r="AB1392" s="59"/>
      <c r="AC1392" s="9"/>
    </row>
    <row r="1393">
      <c r="A1393" s="9"/>
      <c r="B1393" s="19"/>
      <c r="C1393" s="9"/>
      <c r="D1393" s="9"/>
      <c r="E1393" s="59"/>
      <c r="F1393" s="9"/>
      <c r="G1393" s="9"/>
      <c r="H1393" s="59"/>
      <c r="I1393" s="59"/>
      <c r="J1393" s="59"/>
      <c r="K1393" s="59"/>
      <c r="L1393" s="59"/>
      <c r="M1393" s="59"/>
      <c r="N1393" s="21"/>
      <c r="O1393" s="59"/>
      <c r="P1393" s="59"/>
      <c r="Q1393" s="59"/>
      <c r="R1393" s="59"/>
      <c r="S1393" s="59"/>
      <c r="T1393" s="59"/>
      <c r="U1393" s="59"/>
      <c r="V1393" s="59"/>
      <c r="W1393" s="59"/>
      <c r="X1393" s="59"/>
      <c r="Y1393" s="59"/>
      <c r="Z1393" s="10"/>
      <c r="AA1393" s="74"/>
      <c r="AB1393" s="59"/>
      <c r="AC1393" s="9"/>
    </row>
    <row r="1394">
      <c r="A1394" s="9"/>
      <c r="B1394" s="19"/>
      <c r="C1394" s="9"/>
      <c r="D1394" s="9"/>
      <c r="E1394" s="59"/>
      <c r="F1394" s="9"/>
      <c r="G1394" s="9"/>
      <c r="H1394" s="59"/>
      <c r="I1394" s="59"/>
      <c r="J1394" s="59"/>
      <c r="K1394" s="59"/>
      <c r="L1394" s="59"/>
      <c r="M1394" s="59"/>
      <c r="N1394" s="21"/>
      <c r="O1394" s="59"/>
      <c r="P1394" s="59"/>
      <c r="Q1394" s="59"/>
      <c r="R1394" s="59"/>
      <c r="S1394" s="59"/>
      <c r="T1394" s="59"/>
      <c r="U1394" s="59"/>
      <c r="V1394" s="59"/>
      <c r="W1394" s="59"/>
      <c r="X1394" s="59"/>
      <c r="Y1394" s="59"/>
      <c r="Z1394" s="10"/>
      <c r="AA1394" s="74"/>
      <c r="AB1394" s="59"/>
      <c r="AC1394" s="9"/>
    </row>
    <row r="1395">
      <c r="A1395" s="9"/>
      <c r="B1395" s="19"/>
      <c r="C1395" s="9"/>
      <c r="D1395" s="9"/>
      <c r="E1395" s="59"/>
      <c r="F1395" s="9"/>
      <c r="G1395" s="9"/>
      <c r="H1395" s="59"/>
      <c r="I1395" s="59"/>
      <c r="J1395" s="59"/>
      <c r="K1395" s="59"/>
      <c r="L1395" s="59"/>
      <c r="M1395" s="59"/>
      <c r="N1395" s="21"/>
      <c r="O1395" s="59"/>
      <c r="P1395" s="59"/>
      <c r="Q1395" s="59"/>
      <c r="R1395" s="59"/>
      <c r="S1395" s="59"/>
      <c r="T1395" s="59"/>
      <c r="U1395" s="59"/>
      <c r="V1395" s="59"/>
      <c r="W1395" s="59"/>
      <c r="X1395" s="59"/>
      <c r="Y1395" s="59"/>
      <c r="Z1395" s="10"/>
      <c r="AA1395" s="74"/>
      <c r="AB1395" s="59"/>
      <c r="AC1395" s="9"/>
    </row>
    <row r="1396">
      <c r="A1396" s="9"/>
      <c r="B1396" s="19"/>
      <c r="C1396" s="9"/>
      <c r="D1396" s="9"/>
      <c r="E1396" s="59"/>
      <c r="F1396" s="9"/>
      <c r="G1396" s="9"/>
      <c r="H1396" s="59"/>
      <c r="I1396" s="59"/>
      <c r="J1396" s="59"/>
      <c r="K1396" s="59"/>
      <c r="L1396" s="59"/>
      <c r="M1396" s="59"/>
      <c r="N1396" s="21"/>
      <c r="O1396" s="59"/>
      <c r="P1396" s="59"/>
      <c r="Q1396" s="59"/>
      <c r="R1396" s="59"/>
      <c r="S1396" s="59"/>
      <c r="T1396" s="59"/>
      <c r="U1396" s="59"/>
      <c r="V1396" s="59"/>
      <c r="W1396" s="59"/>
      <c r="X1396" s="59"/>
      <c r="Y1396" s="59"/>
      <c r="Z1396" s="10"/>
      <c r="AA1396" s="74"/>
      <c r="AB1396" s="59"/>
      <c r="AC1396" s="9"/>
    </row>
    <row r="1397">
      <c r="A1397" s="9"/>
      <c r="B1397" s="19"/>
      <c r="C1397" s="9"/>
      <c r="D1397" s="9"/>
      <c r="E1397" s="59"/>
      <c r="F1397" s="9"/>
      <c r="G1397" s="9"/>
      <c r="H1397" s="59"/>
      <c r="I1397" s="59"/>
      <c r="J1397" s="59"/>
      <c r="K1397" s="59"/>
      <c r="L1397" s="59"/>
      <c r="M1397" s="59"/>
      <c r="N1397" s="21"/>
      <c r="O1397" s="59"/>
      <c r="P1397" s="59"/>
      <c r="Q1397" s="59"/>
      <c r="R1397" s="59"/>
      <c r="S1397" s="59"/>
      <c r="T1397" s="59"/>
      <c r="U1397" s="59"/>
      <c r="V1397" s="59"/>
      <c r="W1397" s="59"/>
      <c r="X1397" s="59"/>
      <c r="Y1397" s="59"/>
      <c r="Z1397" s="10"/>
      <c r="AA1397" s="74"/>
      <c r="AB1397" s="59"/>
      <c r="AC1397" s="9"/>
    </row>
    <row r="1398">
      <c r="A1398" s="9"/>
      <c r="B1398" s="19"/>
      <c r="C1398" s="9"/>
      <c r="D1398" s="9"/>
      <c r="E1398" s="59"/>
      <c r="F1398" s="9"/>
      <c r="G1398" s="9"/>
      <c r="H1398" s="59"/>
      <c r="I1398" s="59"/>
      <c r="J1398" s="59"/>
      <c r="K1398" s="59"/>
      <c r="L1398" s="59"/>
      <c r="M1398" s="59"/>
      <c r="N1398" s="21"/>
      <c r="O1398" s="59"/>
      <c r="P1398" s="59"/>
      <c r="Q1398" s="59"/>
      <c r="R1398" s="59"/>
      <c r="S1398" s="59"/>
      <c r="T1398" s="59"/>
      <c r="U1398" s="59"/>
      <c r="V1398" s="59"/>
      <c r="W1398" s="59"/>
      <c r="X1398" s="59"/>
      <c r="Y1398" s="59"/>
      <c r="Z1398" s="10"/>
      <c r="AA1398" s="74"/>
      <c r="AB1398" s="59"/>
      <c r="AC1398" s="9"/>
    </row>
    <row r="1399">
      <c r="A1399" s="9"/>
      <c r="B1399" s="19"/>
      <c r="C1399" s="9"/>
      <c r="D1399" s="9"/>
      <c r="E1399" s="59"/>
      <c r="F1399" s="9"/>
      <c r="G1399" s="9"/>
      <c r="H1399" s="59"/>
      <c r="I1399" s="59"/>
      <c r="J1399" s="59"/>
      <c r="K1399" s="59"/>
      <c r="L1399" s="59"/>
      <c r="M1399" s="59"/>
      <c r="N1399" s="21"/>
      <c r="O1399" s="59"/>
      <c r="P1399" s="59"/>
      <c r="Q1399" s="59"/>
      <c r="R1399" s="59"/>
      <c r="S1399" s="59"/>
      <c r="T1399" s="59"/>
      <c r="U1399" s="59"/>
      <c r="V1399" s="59"/>
      <c r="W1399" s="59"/>
      <c r="X1399" s="59"/>
      <c r="Y1399" s="59"/>
      <c r="Z1399" s="10"/>
      <c r="AA1399" s="74"/>
      <c r="AB1399" s="59"/>
      <c r="AC1399" s="9"/>
    </row>
    <row r="1400">
      <c r="A1400" s="9"/>
      <c r="B1400" s="19"/>
      <c r="C1400" s="9"/>
      <c r="D1400" s="9"/>
      <c r="E1400" s="59"/>
      <c r="F1400" s="9"/>
      <c r="G1400" s="9"/>
      <c r="H1400" s="59"/>
      <c r="I1400" s="59"/>
      <c r="J1400" s="59"/>
      <c r="K1400" s="59"/>
      <c r="L1400" s="59"/>
      <c r="M1400" s="59"/>
      <c r="N1400" s="21"/>
      <c r="O1400" s="59"/>
      <c r="P1400" s="59"/>
      <c r="Q1400" s="59"/>
      <c r="R1400" s="59"/>
      <c r="S1400" s="59"/>
      <c r="T1400" s="59"/>
      <c r="U1400" s="59"/>
      <c r="V1400" s="59"/>
      <c r="W1400" s="59"/>
      <c r="X1400" s="59"/>
      <c r="Y1400" s="59"/>
      <c r="Z1400" s="10"/>
      <c r="AA1400" s="74"/>
      <c r="AB1400" s="59"/>
      <c r="AC1400" s="9"/>
    </row>
    <row r="1401">
      <c r="A1401" s="9"/>
      <c r="B1401" s="19"/>
      <c r="C1401" s="9"/>
      <c r="D1401" s="9"/>
      <c r="E1401" s="59"/>
      <c r="F1401" s="9"/>
      <c r="G1401" s="9"/>
      <c r="H1401" s="59"/>
      <c r="I1401" s="59"/>
      <c r="J1401" s="59"/>
      <c r="K1401" s="59"/>
      <c r="L1401" s="59"/>
      <c r="M1401" s="59"/>
      <c r="N1401" s="21"/>
      <c r="O1401" s="59"/>
      <c r="P1401" s="59"/>
      <c r="Q1401" s="59"/>
      <c r="R1401" s="59"/>
      <c r="S1401" s="59"/>
      <c r="T1401" s="59"/>
      <c r="U1401" s="59"/>
      <c r="V1401" s="59"/>
      <c r="W1401" s="59"/>
      <c r="X1401" s="59"/>
      <c r="Y1401" s="59"/>
      <c r="Z1401" s="10"/>
      <c r="AA1401" s="74"/>
      <c r="AB1401" s="59"/>
      <c r="AC1401" s="9"/>
    </row>
    <row r="1402">
      <c r="A1402" s="9"/>
      <c r="B1402" s="19"/>
      <c r="C1402" s="9"/>
      <c r="D1402" s="9"/>
      <c r="E1402" s="59"/>
      <c r="F1402" s="9"/>
      <c r="G1402" s="9"/>
      <c r="H1402" s="59"/>
      <c r="I1402" s="59"/>
      <c r="J1402" s="59"/>
      <c r="K1402" s="59"/>
      <c r="L1402" s="59"/>
      <c r="M1402" s="59"/>
      <c r="N1402" s="21"/>
      <c r="O1402" s="59"/>
      <c r="P1402" s="59"/>
      <c r="Q1402" s="59"/>
      <c r="R1402" s="59"/>
      <c r="S1402" s="59"/>
      <c r="T1402" s="59"/>
      <c r="U1402" s="59"/>
      <c r="V1402" s="59"/>
      <c r="W1402" s="59"/>
      <c r="X1402" s="59"/>
      <c r="Y1402" s="59"/>
      <c r="Z1402" s="10"/>
      <c r="AA1402" s="74"/>
      <c r="AB1402" s="59"/>
      <c r="AC1402" s="9"/>
    </row>
    <row r="1403">
      <c r="A1403" s="9"/>
      <c r="B1403" s="19"/>
      <c r="C1403" s="9"/>
      <c r="D1403" s="9"/>
      <c r="E1403" s="59"/>
      <c r="F1403" s="9"/>
      <c r="G1403" s="9"/>
      <c r="H1403" s="59"/>
      <c r="I1403" s="59"/>
      <c r="J1403" s="59"/>
      <c r="K1403" s="59"/>
      <c r="L1403" s="59"/>
      <c r="M1403" s="59"/>
      <c r="N1403" s="21"/>
      <c r="O1403" s="59"/>
      <c r="P1403" s="59"/>
      <c r="Q1403" s="59"/>
      <c r="R1403" s="59"/>
      <c r="S1403" s="59"/>
      <c r="T1403" s="59"/>
      <c r="U1403" s="59"/>
      <c r="V1403" s="59"/>
      <c r="W1403" s="59"/>
      <c r="X1403" s="59"/>
      <c r="Y1403" s="59"/>
      <c r="Z1403" s="10"/>
      <c r="AA1403" s="74"/>
      <c r="AB1403" s="59"/>
      <c r="AC1403" s="9"/>
    </row>
    <row r="1404">
      <c r="A1404" s="9"/>
      <c r="B1404" s="19"/>
      <c r="C1404" s="9"/>
      <c r="D1404" s="9"/>
      <c r="E1404" s="59"/>
      <c r="F1404" s="9"/>
      <c r="G1404" s="9"/>
      <c r="H1404" s="59"/>
      <c r="I1404" s="59"/>
      <c r="J1404" s="59"/>
      <c r="K1404" s="59"/>
      <c r="L1404" s="59"/>
      <c r="M1404" s="59"/>
      <c r="N1404" s="21"/>
      <c r="O1404" s="59"/>
      <c r="P1404" s="59"/>
      <c r="Q1404" s="59"/>
      <c r="R1404" s="59"/>
      <c r="S1404" s="59"/>
      <c r="T1404" s="59"/>
      <c r="U1404" s="59"/>
      <c r="V1404" s="59"/>
      <c r="W1404" s="59"/>
      <c r="X1404" s="59"/>
      <c r="Y1404" s="59"/>
      <c r="Z1404" s="10"/>
      <c r="AA1404" s="74"/>
      <c r="AB1404" s="59"/>
      <c r="AC1404" s="9"/>
    </row>
    <row r="1405">
      <c r="A1405" s="9"/>
      <c r="B1405" s="19"/>
      <c r="C1405" s="9"/>
      <c r="D1405" s="9"/>
      <c r="E1405" s="59"/>
      <c r="F1405" s="9"/>
      <c r="G1405" s="9"/>
      <c r="H1405" s="59"/>
      <c r="I1405" s="59"/>
      <c r="J1405" s="59"/>
      <c r="K1405" s="59"/>
      <c r="L1405" s="59"/>
      <c r="M1405" s="59"/>
      <c r="N1405" s="21"/>
      <c r="O1405" s="59"/>
      <c r="P1405" s="59"/>
      <c r="Q1405" s="59"/>
      <c r="R1405" s="59"/>
      <c r="S1405" s="59"/>
      <c r="T1405" s="59"/>
      <c r="U1405" s="59"/>
      <c r="V1405" s="59"/>
      <c r="W1405" s="59"/>
      <c r="X1405" s="59"/>
      <c r="Y1405" s="59"/>
      <c r="Z1405" s="10"/>
      <c r="AA1405" s="74"/>
      <c r="AB1405" s="59"/>
      <c r="AC1405" s="9"/>
    </row>
  </sheetData>
  <dataValidations>
    <dataValidation type="list" allowBlank="1" showErrorMessage="1" sqref="N1:N1405">
      <formula1>"TP,FULL,SAOD"</formula1>
    </dataValidation>
  </dataValidations>
  <drawing r:id="rId1"/>
</worksheet>
</file>